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891931\Desktop\"/>
    </mc:Choice>
  </mc:AlternateContent>
  <xr:revisionPtr revIDLastSave="0" documentId="8_{759F0672-EBF7-498B-92BB-6BAF4C4A7313}" xr6:coauthVersionLast="31" xr6:coauthVersionMax="31" xr10:uidLastSave="{00000000-0000-0000-0000-000000000000}"/>
  <bookViews>
    <workbookView xWindow="0" yWindow="0" windowWidth="24000" windowHeight="9525" xr2:uid="{A593A8B7-BF6C-45B4-B2CC-D9554603A39E}"/>
  </bookViews>
  <sheets>
    <sheet name="COMPARACIONES " sheetId="1" r:id="rId1"/>
    <sheet name="SAP VS MES " sheetId="2" r:id="rId2"/>
  </sheets>
  <definedNames>
    <definedName name="_xlnm._FilterDatabase" localSheetId="0" hidden="1">'COMPARACIONES '!$N$4:$W$4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89" i="2" l="1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I3" i="2"/>
  <c r="G3" i="2"/>
  <c r="X6" i="1" l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5" i="1"/>
  <c r="E156" i="1"/>
  <c r="E158" i="1"/>
  <c r="R79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5" i="1"/>
</calcChain>
</file>

<file path=xl/sharedStrings.xml><?xml version="1.0" encoding="utf-8"?>
<sst xmlns="http://schemas.openxmlformats.org/spreadsheetml/2006/main" count="1072" uniqueCount="267">
  <si>
    <t>DELTA GENERAL</t>
  </si>
  <si>
    <t>LastUpdated</t>
  </si>
  <si>
    <t>E-DASH +</t>
  </si>
  <si>
    <t>SAP VS MES</t>
  </si>
  <si>
    <t>Model</t>
  </si>
  <si>
    <t>SAP Qty</t>
  </si>
  <si>
    <t>DELTA E-+</t>
  </si>
  <si>
    <t>∑ Deltas</t>
  </si>
  <si>
    <t>comentarios</t>
  </si>
  <si>
    <t>MES Qty</t>
  </si>
  <si>
    <t>Delta</t>
  </si>
  <si>
    <t>TX1004318-00-G_02</t>
  </si>
  <si>
    <t>TX1004318-00-GB-2</t>
  </si>
  <si>
    <t>TX1004318-00-GT-2</t>
  </si>
  <si>
    <t>TX1004318-00-GTH-2</t>
  </si>
  <si>
    <t>TX1004318-00-H_01</t>
  </si>
  <si>
    <t>TX1004318-00-HT-1</t>
  </si>
  <si>
    <t>TX1004318-00-HTH-1</t>
  </si>
  <si>
    <t>TX1009582-01-B_03</t>
  </si>
  <si>
    <t>TX1009582-01-BT-3</t>
  </si>
  <si>
    <t>TX1019127-01-CB-1</t>
  </si>
  <si>
    <t>TX1019127-01-CT-1</t>
  </si>
  <si>
    <t>TX1019127-01-CTH-1</t>
  </si>
  <si>
    <t>TX1020419-01-C_03</t>
  </si>
  <si>
    <t>TX1020419-01-CB-3</t>
  </si>
  <si>
    <t>TX1020419-01-CT-3</t>
  </si>
  <si>
    <t>TX1020419-01-CTH-3</t>
  </si>
  <si>
    <t>TX1020796-01-BT-4</t>
  </si>
  <si>
    <t>TX1020796-01-BTH-4</t>
  </si>
  <si>
    <t>TX1021748-00-B_01</t>
  </si>
  <si>
    <t>TX1021748-00-BTH-1</t>
  </si>
  <si>
    <t>TX1021748-00-C_02</t>
  </si>
  <si>
    <t>TX1021748-00-CT-2</t>
  </si>
  <si>
    <t>TX1021748-00-CTH-2</t>
  </si>
  <si>
    <t>TX1021749-00-B_03</t>
  </si>
  <si>
    <t>TX1021749-00-BT-3</t>
  </si>
  <si>
    <t>TX1021749-00-BTH-3</t>
  </si>
  <si>
    <t>TX1022005-01-G_01</t>
  </si>
  <si>
    <t>TX1022005-01-GB-1</t>
  </si>
  <si>
    <t>TX1022005-01-GT-1</t>
  </si>
  <si>
    <t>TX1022005-01-GTH-1</t>
  </si>
  <si>
    <t>TX1023049-01-D_02</t>
  </si>
  <si>
    <t>TX1023049-01-DT-2</t>
  </si>
  <si>
    <t>TX1023049-01-DTH-2</t>
  </si>
  <si>
    <t>TX1023049-02-D_02</t>
  </si>
  <si>
    <t>TX1023049-02-DT-2</t>
  </si>
  <si>
    <t>TX1023049-02-DTH-2</t>
  </si>
  <si>
    <t>TX1023049-02DNTH-2</t>
  </si>
  <si>
    <t>TX1026696-00-G_01</t>
  </si>
  <si>
    <t>TX1026696-00-GB-1</t>
  </si>
  <si>
    <t>TX1026696-00-GT-1</t>
  </si>
  <si>
    <t>TX1026696-00-GTH-1</t>
  </si>
  <si>
    <t>TX1026696-01-CTH-1</t>
  </si>
  <si>
    <t>TX1026865-00-D_02</t>
  </si>
  <si>
    <t>TX1026865-00-DB-2</t>
  </si>
  <si>
    <t>TX1026865-00-DT-2</t>
  </si>
  <si>
    <t>TX1026865-00-DTH-2</t>
  </si>
  <si>
    <t>TX1028578-01-C_03</t>
  </si>
  <si>
    <t>TX1028578-01-CT-3</t>
  </si>
  <si>
    <t>TX1028578-01-CTH-3</t>
  </si>
  <si>
    <t>TX1031259-00-A_01</t>
  </si>
  <si>
    <t>TX1031259-00-ATH-1</t>
  </si>
  <si>
    <t>TX1031308-01-F_02</t>
  </si>
  <si>
    <t>TX1031308-01-FB-2</t>
  </si>
  <si>
    <t>TX1031308-01-FT-2</t>
  </si>
  <si>
    <t>TX1031308-01-FTH-2</t>
  </si>
  <si>
    <t>TX1031415-01-E_03</t>
  </si>
  <si>
    <t>TX1031415-01-EB-3</t>
  </si>
  <si>
    <t>TX1031415-01-ET-3</t>
  </si>
  <si>
    <t>TX1031415-01-ETH-3</t>
  </si>
  <si>
    <t>TX1031503-01-F_04</t>
  </si>
  <si>
    <t>TX1031503-01-FB-4</t>
  </si>
  <si>
    <t>TX1031503-01-FT-4</t>
  </si>
  <si>
    <t>TX1031503-01-FTH-4</t>
  </si>
  <si>
    <t>TX1031503-01-G_01</t>
  </si>
  <si>
    <t>TX1031503-01-GTH-1</t>
  </si>
  <si>
    <t>TX1031503-02-AB-3</t>
  </si>
  <si>
    <t>TX1031503-02-AT-3</t>
  </si>
  <si>
    <t>TX1031503-02-ATH-3</t>
  </si>
  <si>
    <t>TX1033174-01-FT-1</t>
  </si>
  <si>
    <t>TX1033174-01-FTH-1</t>
  </si>
  <si>
    <t>TX1034827-01-E_01</t>
  </si>
  <si>
    <t>TX1034827-01-EB-1</t>
  </si>
  <si>
    <t>TX1034827-01-ET-1</t>
  </si>
  <si>
    <t>TX1034827-01-ETH-1</t>
  </si>
  <si>
    <t>TX1041213-01-DB-1</t>
  </si>
  <si>
    <t>TX1041213-01-DTH-1</t>
  </si>
  <si>
    <t>TX1041562-00-B_02</t>
  </si>
  <si>
    <t>TX1041562-00-BB-2</t>
  </si>
  <si>
    <t>TX1041562-00-BT-2</t>
  </si>
  <si>
    <t>TX1041562-00-BTH-2</t>
  </si>
  <si>
    <t>TX1045483-00-DB-3</t>
  </si>
  <si>
    <t>TX1045483-00-DT-3</t>
  </si>
  <si>
    <t>TX1045483-00-HB-1</t>
  </si>
  <si>
    <t>TX1045483-00-HT-1</t>
  </si>
  <si>
    <t>TX1045483-00-J_01</t>
  </si>
  <si>
    <t>TX1045483-00-JB-1</t>
  </si>
  <si>
    <t>TX1045483-00-JT-1</t>
  </si>
  <si>
    <t>TX1045483-00-JTH-1</t>
  </si>
  <si>
    <t>TX1045490-00-G_01</t>
  </si>
  <si>
    <t>TX1047030-01-D_03</t>
  </si>
  <si>
    <t>TX1047030-01-DB-3</t>
  </si>
  <si>
    <t>TX1047030-01-DT-3</t>
  </si>
  <si>
    <t>TX1047030-01-DTH-3</t>
  </si>
  <si>
    <t>TX1048708-01-FB-2</t>
  </si>
  <si>
    <t>TX1048708-01-FT-2</t>
  </si>
  <si>
    <t>TX1048708-01-FTH-2</t>
  </si>
  <si>
    <t>TX1048708-02-F_01</t>
  </si>
  <si>
    <t>TX1048708-02-FB-1</t>
  </si>
  <si>
    <t>TX1048708-02-FT-1</t>
  </si>
  <si>
    <t>TX1048708-02-FTH-1</t>
  </si>
  <si>
    <t>TX1049219-01-C_02</t>
  </si>
  <si>
    <t>TX1049219-01-CB-2</t>
  </si>
  <si>
    <t>TX1049219-01-CT-2</t>
  </si>
  <si>
    <t>TX1049219-01-CTH-2</t>
  </si>
  <si>
    <t>TX1049371-00-D_01</t>
  </si>
  <si>
    <t>TX1049371-00-DTH-1</t>
  </si>
  <si>
    <t>TX1049371-01-D_01</t>
  </si>
  <si>
    <t>TX1049371-01-DT-1</t>
  </si>
  <si>
    <t>TX1049371-01-DTH-1</t>
  </si>
  <si>
    <t>TX1049371-05-D_01</t>
  </si>
  <si>
    <t>TX1049371-05-DTH-1</t>
  </si>
  <si>
    <t>TX1049371-06-D_01</t>
  </si>
  <si>
    <t>TX1049371-08-D_01</t>
  </si>
  <si>
    <t>TX1049371-08-DTH-1</t>
  </si>
  <si>
    <t>TX1049524-01-D_01</t>
  </si>
  <si>
    <t>TX1049524-01-DT-1</t>
  </si>
  <si>
    <t>TX1049524-01-DTH-1</t>
  </si>
  <si>
    <t>TX1050951-00-A_01</t>
  </si>
  <si>
    <t>TX1050951-00-AT-1</t>
  </si>
  <si>
    <t>TX1050951-00-ATH-1</t>
  </si>
  <si>
    <t>TX1051035-01-C_01</t>
  </si>
  <si>
    <t>TX1051035-01-CB-1</t>
  </si>
  <si>
    <t>TX1051035-01-CT-1</t>
  </si>
  <si>
    <t>TX1051035-01-CTH-1</t>
  </si>
  <si>
    <t>TX1054968-01-B_01</t>
  </si>
  <si>
    <t>TX1054968-01-BB-1</t>
  </si>
  <si>
    <t>TX1054968-01-BT-1</t>
  </si>
  <si>
    <t>TX1054968-01-BTH-1</t>
  </si>
  <si>
    <t>TX1054968-02-B_02</t>
  </si>
  <si>
    <t>TX1054968-02-BB-2</t>
  </si>
  <si>
    <t>TX1054968-02-BT-2</t>
  </si>
  <si>
    <t>TX1054968-02-BTH-2</t>
  </si>
  <si>
    <t>TX1059410-01-C_02</t>
  </si>
  <si>
    <t>TX1059410-01-CT-2</t>
  </si>
  <si>
    <t>TX1059410-01-CTH-2</t>
  </si>
  <si>
    <t>TX1061354-01-CB-1</t>
  </si>
  <si>
    <t>TX1061354-01-CT-1</t>
  </si>
  <si>
    <t>TX1061354-01-CTH-1</t>
  </si>
  <si>
    <t>TX1066081-03-C_01</t>
  </si>
  <si>
    <t>TX1066081-03-CB-1</t>
  </si>
  <si>
    <t>TX1066081-03-CT-1</t>
  </si>
  <si>
    <t>TX1066081-03-CTH-1</t>
  </si>
  <si>
    <t>TX1069057-02-DT-1</t>
  </si>
  <si>
    <t>TX1079482-00-A_01</t>
  </si>
  <si>
    <t>TX1079482-00-AT-1</t>
  </si>
  <si>
    <t>TX1085638-01-C_01</t>
  </si>
  <si>
    <t>TX1085638-01-CB-1</t>
  </si>
  <si>
    <t>TX1085638-01-CTH-1</t>
  </si>
  <si>
    <t>TX1100618-01-A_01</t>
  </si>
  <si>
    <t>TX1100618-01-AT-1</t>
  </si>
  <si>
    <t>TX1100618-01-ATH-1</t>
  </si>
  <si>
    <t>TX1129901-00-ATH-1</t>
  </si>
  <si>
    <t>TX1129903-00-AT-1</t>
  </si>
  <si>
    <t>TX1129903-00-ATH-1</t>
  </si>
  <si>
    <t>TX1449781-00-A_02</t>
  </si>
  <si>
    <t>TX1449781-00-AB-2</t>
  </si>
  <si>
    <t>TX1449781-00-AT-2</t>
  </si>
  <si>
    <t>TX1449781-00-ATH-2</t>
  </si>
  <si>
    <t>TX1454671-00-A_01</t>
  </si>
  <si>
    <t>TX1454671-00-A_02</t>
  </si>
  <si>
    <t>TX1454671-00-AT-2</t>
  </si>
  <si>
    <t>TX1454671-00-ATH-2</t>
  </si>
  <si>
    <t>TX1456998-00-A_01</t>
  </si>
  <si>
    <t>TX1456998-00-AT-1</t>
  </si>
  <si>
    <t>TX1456998-00-ATH-1</t>
  </si>
  <si>
    <t>TX1464166-00-B_02</t>
  </si>
  <si>
    <t>TX1466993-00-B_01</t>
  </si>
  <si>
    <t>MES Qtyes</t>
  </si>
  <si>
    <t>TX1019127-01-C_01</t>
  </si>
  <si>
    <t>TX1023049-02-DN_02</t>
  </si>
  <si>
    <t>TX1031503-01-GB-1</t>
  </si>
  <si>
    <t>TX1031503-02-B_01</t>
  </si>
  <si>
    <t>TX1031503-02-BTH-1</t>
  </si>
  <si>
    <t>TX1036279-00-F_01</t>
  </si>
  <si>
    <t>TX1049371-05-DT-1</t>
  </si>
  <si>
    <t>TX1061354-02-CB-1</t>
  </si>
  <si>
    <t>TX1061354-02-CTH-1</t>
  </si>
  <si>
    <t>VERSION REGULAR</t>
  </si>
  <si>
    <t>VERSION ACTUALIZADA</t>
  </si>
  <si>
    <t>VERSION 2.0</t>
  </si>
  <si>
    <t>VERSION ORIGINAL</t>
  </si>
  <si>
    <t>%Dif</t>
  </si>
  <si>
    <t>Last Updated</t>
  </si>
  <si>
    <t>STATUS</t>
  </si>
  <si>
    <t>TX-CBLCONN-NA</t>
  </si>
  <si>
    <t>100%</t>
  </si>
  <si>
    <t>9/18/2018 6:10:13 AM</t>
  </si>
  <si>
    <t>MAYORES CONTRIBUYENTES</t>
  </si>
  <si>
    <t>TX-MAINASSY-CDA1</t>
  </si>
  <si>
    <t>MODEL</t>
  </si>
  <si>
    <t>DELTA</t>
  </si>
  <si>
    <t>TX-MAINASSYNA-B</t>
  </si>
  <si>
    <t>96%</t>
  </si>
  <si>
    <t>88%</t>
  </si>
  <si>
    <t>91%</t>
  </si>
  <si>
    <t>33%</t>
  </si>
  <si>
    <t>94%</t>
  </si>
  <si>
    <t>81%</t>
  </si>
  <si>
    <t>69%</t>
  </si>
  <si>
    <t>0%</t>
  </si>
  <si>
    <t>93%</t>
  </si>
  <si>
    <t>73%</t>
  </si>
  <si>
    <t>75%</t>
  </si>
  <si>
    <t>35%</t>
  </si>
  <si>
    <t>95%</t>
  </si>
  <si>
    <t>58%</t>
  </si>
  <si>
    <t>99%</t>
  </si>
  <si>
    <t>36%</t>
  </si>
  <si>
    <t>54%</t>
  </si>
  <si>
    <t>45%</t>
  </si>
  <si>
    <t>70%</t>
  </si>
  <si>
    <t>65%</t>
  </si>
  <si>
    <t>76%</t>
  </si>
  <si>
    <t>59%</t>
  </si>
  <si>
    <t>42%</t>
  </si>
  <si>
    <t>56%</t>
  </si>
  <si>
    <t>48%</t>
  </si>
  <si>
    <t>20%</t>
  </si>
  <si>
    <t>51%</t>
  </si>
  <si>
    <t>TX1043900-00-E_01</t>
  </si>
  <si>
    <t>TX1045451-00-H_01</t>
  </si>
  <si>
    <t>90%</t>
  </si>
  <si>
    <t>40%</t>
  </si>
  <si>
    <t>80%</t>
  </si>
  <si>
    <t>TX1037222-00-E_02</t>
  </si>
  <si>
    <t>47%</t>
  </si>
  <si>
    <t>25%</t>
  </si>
  <si>
    <t>61%</t>
  </si>
  <si>
    <t>83%</t>
  </si>
  <si>
    <t>98%</t>
  </si>
  <si>
    <t>86%</t>
  </si>
  <si>
    <t>TX1046716-00-D_02</t>
  </si>
  <si>
    <t>TX1049678-00-H_03</t>
  </si>
  <si>
    <t>49%</t>
  </si>
  <si>
    <t>TX1054069-00-G_01</t>
  </si>
  <si>
    <t>TX1054454-00-D_01</t>
  </si>
  <si>
    <t>TX1058220-02-E_02</t>
  </si>
  <si>
    <t>TX1058358-03-G_03</t>
  </si>
  <si>
    <t>60%</t>
  </si>
  <si>
    <t>71%</t>
  </si>
  <si>
    <t>TX1059891-00-D_01</t>
  </si>
  <si>
    <t>TX1059891-00-E_02</t>
  </si>
  <si>
    <t>TX1060989-00-C_01</t>
  </si>
  <si>
    <t>TX1072541-00-C_01</t>
  </si>
  <si>
    <t>89%</t>
  </si>
  <si>
    <t>52%</t>
  </si>
  <si>
    <t>74%</t>
  </si>
  <si>
    <t>TX1059005-02-C_01</t>
  </si>
  <si>
    <t>62%</t>
  </si>
  <si>
    <t>TX1067031-00-B_01</t>
  </si>
  <si>
    <t>84%</t>
  </si>
  <si>
    <t>TX1089868-00-E_01</t>
  </si>
  <si>
    <t>55%</t>
  </si>
  <si>
    <t>TX1106293-00-A_01</t>
  </si>
  <si>
    <t>72%</t>
  </si>
  <si>
    <t>TX2008021-P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</si>
</sst>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</font>
    <font>
      <sz val="11"/>
      <name val="Calibri"/>
      <family val="2"/>
      <scheme val="minor"/>
    </font>
    <font>
      <b/>
      <sz val="11"/>
      <color theme="0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u/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ck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1" fillId="0" borderId="0"/>
    <xf numFmtId="0" fontId="9" fillId="0" borderId="0"/>
    <xf numFmtId="0" fontId="9" fillId="0" borderId="0"/>
    <xf numFmtId="0" fontId="11" fillId="0" borderId="0"/>
    <xf numFmtId="0" fontId="14" fillId="0" borderId="0" applyNumberFormat="0" applyFill="0" applyBorder="0" applyAlignment="0" applyProtection="0"/>
  </cellStyleXfs>
  <cellXfs count="135">
    <xf numFmtId="0" fontId="0" fillId="0" borderId="0" xfId="0"/>
    <xf numFmtId="0" fontId="7" fillId="6" borderId="2" xfId="5" applyFont="1" applyFill="1" applyBorder="1" applyAlignment="1">
      <alignment horizontal="center"/>
    </xf>
    <xf numFmtId="0" fontId="1" fillId="7" borderId="0" xfId="5" applyFill="1" applyBorder="1"/>
    <xf numFmtId="22" fontId="8" fillId="8" borderId="3" xfId="5" applyNumberFormat="1" applyFont="1" applyFill="1" applyBorder="1" applyAlignment="1">
      <alignment horizontal="center"/>
    </xf>
    <xf numFmtId="22" fontId="8" fillId="8" borderId="4" xfId="5" applyNumberFormat="1" applyFont="1" applyFill="1" applyBorder="1" applyAlignment="1">
      <alignment horizontal="center"/>
    </xf>
    <xf numFmtId="0" fontId="8" fillId="7" borderId="0" xfId="5" applyFont="1" applyFill="1" applyBorder="1" applyAlignment="1">
      <alignment horizontal="center"/>
    </xf>
    <xf numFmtId="0" fontId="7" fillId="6" borderId="5" xfId="5" applyFont="1" applyFill="1" applyBorder="1" applyAlignment="1">
      <alignment horizontal="center"/>
    </xf>
    <xf numFmtId="0" fontId="7" fillId="6" borderId="6" xfId="5" applyFont="1" applyFill="1" applyBorder="1" applyAlignment="1">
      <alignment horizontal="center"/>
    </xf>
    <xf numFmtId="0" fontId="7" fillId="6" borderId="7" xfId="5" applyFont="1" applyFill="1" applyBorder="1" applyAlignment="1">
      <alignment horizontal="center"/>
    </xf>
    <xf numFmtId="0" fontId="9" fillId="0" borderId="0" xfId="6" applyFont="1" applyFill="1" applyBorder="1"/>
    <xf numFmtId="0" fontId="10" fillId="0" borderId="0" xfId="6" applyFont="1" applyFill="1" applyBorder="1"/>
    <xf numFmtId="0" fontId="10" fillId="0" borderId="8" xfId="7" applyFont="1" applyFill="1" applyBorder="1"/>
    <xf numFmtId="0" fontId="10" fillId="9" borderId="9" xfId="5" applyFont="1" applyFill="1" applyBorder="1" applyAlignment="1">
      <alignment horizontal="center"/>
    </xf>
    <xf numFmtId="0" fontId="10" fillId="0" borderId="8" xfId="7" applyFont="1" applyFill="1" applyBorder="1" applyAlignment="1"/>
    <xf numFmtId="0" fontId="10" fillId="0" borderId="0" xfId="7" applyFont="1" applyFill="1" applyBorder="1"/>
    <xf numFmtId="0" fontId="10" fillId="0" borderId="7" xfId="7" applyFont="1" applyFill="1" applyBorder="1"/>
    <xf numFmtId="0" fontId="11" fillId="0" borderId="10" xfId="8" applyFont="1" applyFill="1" applyBorder="1"/>
    <xf numFmtId="0" fontId="10" fillId="0" borderId="0" xfId="5" applyFont="1" applyFill="1" applyBorder="1" applyAlignment="1">
      <alignment horizontal="center"/>
    </xf>
    <xf numFmtId="0" fontId="2" fillId="2" borderId="11" xfId="1" applyBorder="1"/>
    <xf numFmtId="0" fontId="2" fillId="2" borderId="12" xfId="1" applyBorder="1"/>
    <xf numFmtId="0" fontId="2" fillId="2" borderId="10" xfId="1" applyBorder="1"/>
    <xf numFmtId="0" fontId="1" fillId="7" borderId="13" xfId="5" applyFill="1" applyBorder="1"/>
    <xf numFmtId="0" fontId="0" fillId="0" borderId="12" xfId="0" applyFont="1" applyFill="1" applyBorder="1"/>
    <xf numFmtId="0" fontId="0" fillId="0" borderId="10" xfId="0" applyFont="1" applyFill="1" applyBorder="1"/>
    <xf numFmtId="0" fontId="0" fillId="0" borderId="0" xfId="0" applyFont="1" applyFill="1" applyBorder="1"/>
    <xf numFmtId="0" fontId="2" fillId="0" borderId="0" xfId="1" applyFill="1" applyBorder="1"/>
    <xf numFmtId="0" fontId="2" fillId="2" borderId="14" xfId="1" applyBorder="1"/>
    <xf numFmtId="0" fontId="2" fillId="2" borderId="0" xfId="1" applyBorder="1"/>
    <xf numFmtId="0" fontId="2" fillId="2" borderId="15" xfId="1" applyBorder="1"/>
    <xf numFmtId="0" fontId="0" fillId="0" borderId="15" xfId="0" applyFont="1" applyFill="1" applyBorder="1"/>
    <xf numFmtId="0" fontId="2" fillId="2" borderId="16" xfId="1" applyBorder="1"/>
    <xf numFmtId="0" fontId="2" fillId="2" borderId="17" xfId="1" applyBorder="1"/>
    <xf numFmtId="0" fontId="2" fillId="2" borderId="18" xfId="1" applyBorder="1"/>
    <xf numFmtId="0" fontId="0" fillId="0" borderId="17" xfId="0" applyFont="1" applyFill="1" applyBorder="1"/>
    <xf numFmtId="0" fontId="0" fillId="0" borderId="18" xfId="0" applyFont="1" applyFill="1" applyBorder="1"/>
    <xf numFmtId="0" fontId="3" fillId="3" borderId="11" xfId="2" applyBorder="1"/>
    <xf numFmtId="0" fontId="3" fillId="3" borderId="12" xfId="2" applyBorder="1"/>
    <xf numFmtId="0" fontId="3" fillId="3" borderId="10" xfId="2" applyBorder="1"/>
    <xf numFmtId="0" fontId="1" fillId="7" borderId="12" xfId="5" applyFill="1" applyBorder="1"/>
    <xf numFmtId="0" fontId="3" fillId="3" borderId="16" xfId="2" applyBorder="1"/>
    <xf numFmtId="0" fontId="3" fillId="3" borderId="17" xfId="2" applyBorder="1"/>
    <xf numFmtId="0" fontId="3" fillId="3" borderId="18" xfId="2" applyBorder="1"/>
    <xf numFmtId="0" fontId="1" fillId="7" borderId="17" xfId="5" applyFill="1" applyBorder="1"/>
    <xf numFmtId="0" fontId="4" fillId="4" borderId="11" xfId="3" applyBorder="1"/>
    <xf numFmtId="0" fontId="4" fillId="4" borderId="12" xfId="3" applyBorder="1"/>
    <xf numFmtId="0" fontId="4" fillId="4" borderId="10" xfId="3" applyBorder="1"/>
    <xf numFmtId="0" fontId="4" fillId="4" borderId="14" xfId="3" applyBorder="1"/>
    <xf numFmtId="0" fontId="4" fillId="4" borderId="0" xfId="3" applyBorder="1"/>
    <xf numFmtId="0" fontId="4" fillId="4" borderId="15" xfId="3" applyBorder="1"/>
    <xf numFmtId="0" fontId="4" fillId="4" borderId="16" xfId="3" applyBorder="1"/>
    <xf numFmtId="0" fontId="4" fillId="4" borderId="17" xfId="3" applyBorder="1"/>
    <xf numFmtId="0" fontId="4" fillId="4" borderId="18" xfId="3" applyBorder="1"/>
    <xf numFmtId="0" fontId="9" fillId="7" borderId="13" xfId="7" applyFont="1" applyFill="1" applyBorder="1"/>
    <xf numFmtId="0" fontId="9" fillId="7" borderId="17" xfId="7" applyFont="1" applyFill="1" applyBorder="1"/>
    <xf numFmtId="0" fontId="9" fillId="7" borderId="12" xfId="7" applyFont="1" applyFill="1" applyBorder="1"/>
    <xf numFmtId="0" fontId="3" fillId="3" borderId="14" xfId="2" applyBorder="1"/>
    <xf numFmtId="0" fontId="3" fillId="3" borderId="0" xfId="2" applyBorder="1"/>
    <xf numFmtId="0" fontId="3" fillId="3" borderId="15" xfId="2" applyBorder="1"/>
    <xf numFmtId="0" fontId="12" fillId="0" borderId="0" xfId="1" applyFont="1" applyFill="1" applyBorder="1"/>
    <xf numFmtId="0" fontId="2" fillId="2" borderId="19" xfId="1" applyBorder="1"/>
    <xf numFmtId="0" fontId="2" fillId="2" borderId="13" xfId="1" applyBorder="1"/>
    <xf numFmtId="0" fontId="2" fillId="2" borderId="20" xfId="1" applyBorder="1"/>
    <xf numFmtId="0" fontId="0" fillId="0" borderId="13" xfId="0" applyFont="1" applyFill="1" applyBorder="1"/>
    <xf numFmtId="0" fontId="0" fillId="0" borderId="20" xfId="0" applyFont="1" applyFill="1" applyBorder="1"/>
    <xf numFmtId="0" fontId="6" fillId="0" borderId="0" xfId="1" applyFont="1" applyFill="1" applyBorder="1"/>
    <xf numFmtId="0" fontId="4" fillId="4" borderId="19" xfId="3" applyBorder="1"/>
    <xf numFmtId="0" fontId="4" fillId="4" borderId="13" xfId="3" applyBorder="1"/>
    <xf numFmtId="0" fontId="4" fillId="4" borderId="20" xfId="3" applyBorder="1"/>
    <xf numFmtId="0" fontId="10" fillId="10" borderId="0" xfId="5" applyFont="1" applyFill="1" applyBorder="1" applyAlignment="1">
      <alignment horizontal="center"/>
    </xf>
    <xf numFmtId="0" fontId="11" fillId="0" borderId="12" xfId="8" applyFont="1" applyFill="1" applyBorder="1"/>
    <xf numFmtId="0" fontId="11" fillId="0" borderId="0" xfId="8" applyFont="1" applyFill="1" applyBorder="1"/>
    <xf numFmtId="0" fontId="11" fillId="0" borderId="15" xfId="8" applyFont="1" applyFill="1" applyBorder="1"/>
    <xf numFmtId="0" fontId="11" fillId="0" borderId="17" xfId="8" applyFont="1" applyFill="1" applyBorder="1"/>
    <xf numFmtId="0" fontId="11" fillId="0" borderId="18" xfId="8" applyFont="1" applyFill="1" applyBorder="1"/>
    <xf numFmtId="0" fontId="11" fillId="0" borderId="13" xfId="8" applyFont="1" applyFill="1" applyBorder="1"/>
    <xf numFmtId="0" fontId="11" fillId="0" borderId="20" xfId="8" applyFont="1" applyFill="1" applyBorder="1"/>
    <xf numFmtId="0" fontId="9" fillId="7" borderId="0" xfId="7" applyFont="1" applyFill="1" applyBorder="1"/>
    <xf numFmtId="0" fontId="11" fillId="10" borderId="12" xfId="8" applyFont="1" applyFill="1" applyBorder="1"/>
    <xf numFmtId="0" fontId="11" fillId="10" borderId="10" xfId="8" applyFont="1" applyFill="1" applyBorder="1"/>
    <xf numFmtId="0" fontId="11" fillId="10" borderId="0" xfId="8" applyFont="1" applyFill="1" applyBorder="1"/>
    <xf numFmtId="0" fontId="11" fillId="10" borderId="15" xfId="8" applyFont="1" applyFill="1" applyBorder="1"/>
    <xf numFmtId="0" fontId="11" fillId="10" borderId="17" xfId="8" applyFont="1" applyFill="1" applyBorder="1"/>
    <xf numFmtId="0" fontId="11" fillId="10" borderId="18" xfId="8" applyFont="1" applyFill="1" applyBorder="1"/>
    <xf numFmtId="0" fontId="0" fillId="12" borderId="0" xfId="0" applyFill="1"/>
    <xf numFmtId="0" fontId="0" fillId="13" borderId="0" xfId="0" applyFill="1"/>
    <xf numFmtId="0" fontId="8" fillId="13" borderId="0" xfId="5" applyFont="1" applyFill="1" applyBorder="1" applyAlignment="1">
      <alignment horizontal="center"/>
    </xf>
    <xf numFmtId="0" fontId="10" fillId="13" borderId="0" xfId="5" applyFont="1" applyFill="1" applyBorder="1" applyAlignment="1">
      <alignment horizontal="center"/>
    </xf>
    <xf numFmtId="0" fontId="2" fillId="13" borderId="0" xfId="1" applyFill="1" applyBorder="1"/>
    <xf numFmtId="0" fontId="12" fillId="13" borderId="0" xfId="1" applyFont="1" applyFill="1" applyBorder="1"/>
    <xf numFmtId="0" fontId="6" fillId="13" borderId="0" xfId="1" applyFont="1" applyFill="1" applyBorder="1"/>
    <xf numFmtId="0" fontId="13" fillId="5" borderId="1" xfId="4" applyFont="1" applyAlignment="1">
      <alignment horizontal="center"/>
    </xf>
    <xf numFmtId="0" fontId="6" fillId="0" borderId="0" xfId="0" applyFont="1" applyFill="1" applyBorder="1"/>
    <xf numFmtId="0" fontId="4" fillId="4" borderId="21" xfId="3" applyBorder="1"/>
    <xf numFmtId="0" fontId="3" fillId="3" borderId="22" xfId="2" applyBorder="1"/>
    <xf numFmtId="0" fontId="3" fillId="3" borderId="23" xfId="2" applyBorder="1"/>
    <xf numFmtId="0" fontId="3" fillId="3" borderId="21" xfId="2" applyBorder="1"/>
    <xf numFmtId="0" fontId="4" fillId="4" borderId="23" xfId="3" applyBorder="1"/>
    <xf numFmtId="0" fontId="8" fillId="0" borderId="0" xfId="8" applyFont="1" applyFill="1" applyBorder="1"/>
    <xf numFmtId="0" fontId="0" fillId="11" borderId="24" xfId="0" applyFill="1" applyBorder="1"/>
    <xf numFmtId="0" fontId="6" fillId="0" borderId="0" xfId="0" applyFont="1"/>
    <xf numFmtId="0" fontId="0" fillId="14" borderId="24" xfId="0" applyFill="1" applyBorder="1"/>
    <xf numFmtId="0" fontId="15" fillId="11" borderId="3" xfId="0" applyFont="1" applyFill="1" applyBorder="1" applyAlignment="1">
      <alignment horizontal="left" vertical="center" wrapText="1"/>
    </xf>
    <xf numFmtId="0" fontId="15" fillId="11" borderId="4" xfId="0" applyFont="1" applyFill="1" applyBorder="1" applyAlignment="1">
      <alignment horizontal="left" vertical="center" wrapText="1"/>
    </xf>
    <xf numFmtId="0" fontId="15" fillId="11" borderId="25" xfId="0" applyFont="1" applyFill="1" applyBorder="1" applyAlignment="1">
      <alignment horizontal="left" vertical="center" wrapText="1"/>
    </xf>
    <xf numFmtId="0" fontId="15" fillId="11" borderId="24" xfId="0" applyFont="1" applyFill="1" applyBorder="1" applyAlignment="1">
      <alignment horizontal="center" vertical="center" wrapText="1"/>
    </xf>
    <xf numFmtId="0" fontId="15" fillId="14" borderId="24" xfId="0" applyFont="1" applyFill="1" applyBorder="1" applyAlignment="1">
      <alignment horizontal="center" vertical="center" wrapText="1"/>
    </xf>
    <xf numFmtId="0" fontId="10" fillId="14" borderId="4" xfId="0" applyFont="1" applyFill="1" applyBorder="1" applyAlignment="1">
      <alignment horizontal="center"/>
    </xf>
    <xf numFmtId="0" fontId="10" fillId="14" borderId="4" xfId="0" applyFont="1" applyFill="1" applyBorder="1"/>
    <xf numFmtId="0" fontId="10" fillId="14" borderId="25" xfId="0" applyFont="1" applyFill="1" applyBorder="1"/>
    <xf numFmtId="0" fontId="16" fillId="0" borderId="0" xfId="0" applyFont="1" applyFill="1" applyBorder="1" applyAlignment="1">
      <alignment vertical="center" wrapText="1"/>
    </xf>
    <xf numFmtId="0" fontId="17" fillId="0" borderId="0" xfId="9" applyFont="1" applyFill="1" applyBorder="1" applyAlignment="1">
      <alignment vertical="center" wrapText="1"/>
    </xf>
    <xf numFmtId="9" fontId="16" fillId="0" borderId="0" xfId="0" applyNumberFormat="1" applyFont="1" applyFill="1" applyBorder="1" applyAlignment="1">
      <alignment vertical="center" wrapText="1"/>
    </xf>
    <xf numFmtId="22" fontId="16" fillId="0" borderId="0" xfId="0" applyNumberFormat="1" applyFont="1" applyFill="1" applyBorder="1" applyAlignment="1">
      <alignment vertical="center" wrapText="1"/>
    </xf>
    <xf numFmtId="0" fontId="15" fillId="9" borderId="24" xfId="0" applyFont="1" applyFill="1" applyBorder="1" applyAlignment="1">
      <alignment horizontal="center" vertical="center" wrapText="1"/>
    </xf>
    <xf numFmtId="0" fontId="15" fillId="15" borderId="24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0" fillId="16" borderId="0" xfId="0" applyFont="1" applyFill="1" applyBorder="1"/>
    <xf numFmtId="0" fontId="12" fillId="0" borderId="26" xfId="3" applyFont="1" applyFill="1" applyBorder="1"/>
    <xf numFmtId="0" fontId="12" fillId="0" borderId="28" xfId="2" applyFont="1" applyFill="1" applyBorder="1"/>
    <xf numFmtId="0" fontId="12" fillId="0" borderId="28" xfId="3" applyFont="1" applyFill="1" applyBorder="1"/>
    <xf numFmtId="0" fontId="12" fillId="0" borderId="30" xfId="3" applyFont="1" applyFill="1" applyBorder="1"/>
    <xf numFmtId="0" fontId="9" fillId="10" borderId="27" xfId="8" applyFont="1" applyFill="1" applyBorder="1" applyAlignment="1">
      <alignment horizontal="center"/>
    </xf>
    <xf numFmtId="0" fontId="9" fillId="10" borderId="29" xfId="8" applyFont="1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10" borderId="31" xfId="0" applyFill="1" applyBorder="1" applyAlignment="1">
      <alignment horizontal="center"/>
    </xf>
    <xf numFmtId="0" fontId="9" fillId="10" borderId="20" xfId="8" applyFont="1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0" fontId="9" fillId="10" borderId="32" xfId="8" applyFont="1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22" fontId="18" fillId="7" borderId="3" xfId="0" applyNumberFormat="1" applyFont="1" applyFill="1" applyBorder="1" applyAlignment="1">
      <alignment horizontal="center" vertical="center" wrapText="1"/>
    </xf>
    <xf numFmtId="22" fontId="18" fillId="7" borderId="4" xfId="0" applyNumberFormat="1" applyFont="1" applyFill="1" applyBorder="1" applyAlignment="1">
      <alignment horizontal="center" vertical="center" wrapText="1"/>
    </xf>
    <xf numFmtId="22" fontId="18" fillId="7" borderId="25" xfId="0" applyNumberFormat="1" applyFont="1" applyFill="1" applyBorder="1" applyAlignment="1">
      <alignment horizontal="center" vertical="center" wrapText="1"/>
    </xf>
    <xf numFmtId="0" fontId="15" fillId="11" borderId="3" xfId="0" applyFont="1" applyFill="1" applyBorder="1" applyAlignment="1">
      <alignment horizontal="center" vertical="center" wrapText="1"/>
    </xf>
    <xf numFmtId="0" fontId="15" fillId="11" borderId="4" xfId="0" applyFont="1" applyFill="1" applyBorder="1" applyAlignment="1">
      <alignment horizontal="center" vertical="center" wrapText="1"/>
    </xf>
    <xf numFmtId="0" fontId="15" fillId="11" borderId="25" xfId="0" applyFont="1" applyFill="1" applyBorder="1" applyAlignment="1">
      <alignment horizontal="center" vertical="center" wrapText="1"/>
    </xf>
  </cellXfs>
  <cellStyles count="10">
    <cellStyle name="Bad" xfId="2" builtinId="27"/>
    <cellStyle name="Check Cell" xfId="4" builtinId="23"/>
    <cellStyle name="Good" xfId="1" builtinId="26"/>
    <cellStyle name="Hyperlink" xfId="9" builtinId="8"/>
    <cellStyle name="Neutral" xfId="3" builtinId="28"/>
    <cellStyle name="Normal" xfId="0" builtinId="0"/>
    <cellStyle name="Normal 2" xfId="6" xr:uid="{6E9B5AE3-6A7A-4279-9A40-605E206394AB}"/>
    <cellStyle name="Normal 2 2" xfId="5" xr:uid="{01849834-0D33-4CD0-9EBD-B1878C29B52E}"/>
    <cellStyle name="Normal 3" xfId="7" xr:uid="{1537FF19-8F12-4794-8EE4-74AF1A54E3B2}"/>
    <cellStyle name="Normal 4" xfId="8" xr:uid="{366EA72C-7CE5-453F-BD84-0D4F0E8AADC1}"/>
  </cellStyles>
  <dxfs count="4">
    <dxf>
      <font>
        <color rgb="FF0070C0"/>
      </font>
      <fill>
        <patternFill>
          <bgColor rgb="FFFFFF00"/>
        </patternFill>
      </fill>
    </dxf>
    <dxf>
      <font>
        <color rgb="FF0070C0"/>
      </font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fgColor theme="0" tint="-0.34998626667073579"/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mxchim0web05/eDashboard_CUU/_webforms/rep_mes_birthaging.aspx?a=TX1022005-01-GB-1" TargetMode="External"/><Relationship Id="rId117" Type="http://schemas.openxmlformats.org/officeDocument/2006/relationships/hyperlink" Target="http://mxchim0web05/eDashboard_CUU/_webforms/rep_mes_birthaging.aspx?a=TX1059410-01-C_02" TargetMode="External"/><Relationship Id="rId21" Type="http://schemas.openxmlformats.org/officeDocument/2006/relationships/hyperlink" Target="http://mxchim0web05/eDashboard_CUU/_webforms/rep_mes_birthaging.aspx?a=TX1021748-00-CTH-2" TargetMode="External"/><Relationship Id="rId42" Type="http://schemas.openxmlformats.org/officeDocument/2006/relationships/hyperlink" Target="http://mxchim0web05/eDashboard_CUU/_webforms/rep_mes_birthaging.aspx?a=TX1028578-01-C_03" TargetMode="External"/><Relationship Id="rId47" Type="http://schemas.openxmlformats.org/officeDocument/2006/relationships/hyperlink" Target="http://mxchim0web05/eDashboard_CUU/_webforms/rep_mes_birthaging.aspx?a=TX1031308-01-FTH-2" TargetMode="External"/><Relationship Id="rId63" Type="http://schemas.openxmlformats.org/officeDocument/2006/relationships/hyperlink" Target="http://mxchim0web05/eDashboard_CUU/_webforms/rep_mes_birthaging.aspx?a=TX1034827-01-E_01" TargetMode="External"/><Relationship Id="rId68" Type="http://schemas.openxmlformats.org/officeDocument/2006/relationships/hyperlink" Target="http://mxchim0web05/eDashboard_CUU/_webforms/rep_mes_birthaging.aspx?a=TX1041562-00-B_02" TargetMode="External"/><Relationship Id="rId84" Type="http://schemas.openxmlformats.org/officeDocument/2006/relationships/hyperlink" Target="http://mxchim0web05/eDashboard_CUU/_webforms/rep_mes_birthaging.aspx?a=TX1048708-02-FTH-1" TargetMode="External"/><Relationship Id="rId89" Type="http://schemas.openxmlformats.org/officeDocument/2006/relationships/hyperlink" Target="http://mxchim0web05/eDashboard_CUU/_webforms/rep_mes_birthaging.aspx?a=TX1049371-01-DT-1" TargetMode="External"/><Relationship Id="rId112" Type="http://schemas.openxmlformats.org/officeDocument/2006/relationships/hyperlink" Target="http://mxchim0web05/eDashboard_CUU/_webforms/rep_mes_birthaging.aspx?a=TX1054968-02-B_02" TargetMode="External"/><Relationship Id="rId133" Type="http://schemas.openxmlformats.org/officeDocument/2006/relationships/hyperlink" Target="http://mxchim0web05/eDashboard_CUU/_webforms/rep_mes_birthaging.aspx?a=TX1085638-01-CTH-1" TargetMode="External"/><Relationship Id="rId138" Type="http://schemas.openxmlformats.org/officeDocument/2006/relationships/hyperlink" Target="http://mxchim0web05/eDashboard_CUU/_webforms/rep_mes_birthaging.aspx?a=TX1129903-00-ATH-1" TargetMode="External"/><Relationship Id="rId16" Type="http://schemas.openxmlformats.org/officeDocument/2006/relationships/hyperlink" Target="http://mxchim0web05/eDashboard_CUU/_webforms/rep_mes_birthaging.aspx?a=TX1020796-01-BT-4" TargetMode="External"/><Relationship Id="rId107" Type="http://schemas.openxmlformats.org/officeDocument/2006/relationships/hyperlink" Target="http://mxchim0web05/eDashboard_CUU/_webforms/rep_mes_birthaging.aspx?a=TX1054454-00-D_01" TargetMode="External"/><Relationship Id="rId11" Type="http://schemas.openxmlformats.org/officeDocument/2006/relationships/hyperlink" Target="http://mxchim0web05/eDashboard_CUU/_webforms/rep_mes_birthaging.aspx?a=TX1019127-01-CT-1" TargetMode="External"/><Relationship Id="rId32" Type="http://schemas.openxmlformats.org/officeDocument/2006/relationships/hyperlink" Target="http://mxchim0web05/eDashboard_CUU/_webforms/rep_mes_birthaging.aspx?a=TX1023049-02-D_02" TargetMode="External"/><Relationship Id="rId37" Type="http://schemas.openxmlformats.org/officeDocument/2006/relationships/hyperlink" Target="http://mxchim0web05/eDashboard_CUU/_webforms/rep_mes_birthaging.aspx?a=TX1026696-00-GB-1" TargetMode="External"/><Relationship Id="rId53" Type="http://schemas.openxmlformats.org/officeDocument/2006/relationships/hyperlink" Target="http://mxchim0web05/eDashboard_CUU/_webforms/rep_mes_birthaging.aspx?a=TX1031503-01-FT-4" TargetMode="External"/><Relationship Id="rId58" Type="http://schemas.openxmlformats.org/officeDocument/2006/relationships/hyperlink" Target="http://mxchim0web05/eDashboard_CUU/_webforms/rep_mes_birthaging.aspx?a=TX1031503-02-AB-3" TargetMode="External"/><Relationship Id="rId74" Type="http://schemas.openxmlformats.org/officeDocument/2006/relationships/hyperlink" Target="http://mxchim0web05/eDashboard_CUU/_webforms/rep_mes_birthaging.aspx?a=TX1045483-00-JB-1" TargetMode="External"/><Relationship Id="rId79" Type="http://schemas.openxmlformats.org/officeDocument/2006/relationships/hyperlink" Target="http://mxchim0web05/eDashboard_CUU/_webforms/rep_mes_birthaging.aspx?a=TX1047030-01-DT-3" TargetMode="External"/><Relationship Id="rId102" Type="http://schemas.openxmlformats.org/officeDocument/2006/relationships/hyperlink" Target="http://mxchim0web05/eDashboard_CUU/_webforms/rep_mes_birthaging.aspx?a=TX1051035-01-C_01" TargetMode="External"/><Relationship Id="rId123" Type="http://schemas.openxmlformats.org/officeDocument/2006/relationships/hyperlink" Target="http://mxchim0web05/eDashboard_CUU/_webforms/rep_mes_birthaging.aspx?a=TX1061354-01-CB-1" TargetMode="External"/><Relationship Id="rId128" Type="http://schemas.openxmlformats.org/officeDocument/2006/relationships/hyperlink" Target="http://mxchim0web05/eDashboard_CUU/_webforms/rep_mes_birthaging.aspx?a=TX1066081-03-CT-1" TargetMode="External"/><Relationship Id="rId144" Type="http://schemas.openxmlformats.org/officeDocument/2006/relationships/hyperlink" Target="http://mxchim0web05/eDashboard_CUU/_webforms/rep_mes_birthaging.aspx?a=TX1454671-00-AT-2" TargetMode="External"/><Relationship Id="rId5" Type="http://schemas.openxmlformats.org/officeDocument/2006/relationships/hyperlink" Target="http://mxchim0web05/eDashboard_CUU/_webforms/rep_mes_birthaging.aspx?a=TX1004318-00-HT-1" TargetMode="External"/><Relationship Id="rId90" Type="http://schemas.openxmlformats.org/officeDocument/2006/relationships/hyperlink" Target="http://mxchim0web05/eDashboard_CUU/_webforms/rep_mes_birthaging.aspx?a=TX1049371-01-DTH-1" TargetMode="External"/><Relationship Id="rId95" Type="http://schemas.openxmlformats.org/officeDocument/2006/relationships/hyperlink" Target="http://mxchim0web05/eDashboard_CUU/_webforms/rep_mes_birthaging.aspx?a=TX1049371-08-DTH-1" TargetMode="External"/><Relationship Id="rId22" Type="http://schemas.openxmlformats.org/officeDocument/2006/relationships/hyperlink" Target="http://mxchim0web05/eDashboard_CUU/_webforms/rep_mes_birthaging.aspx?a=TX1021749-00-B_03" TargetMode="External"/><Relationship Id="rId27" Type="http://schemas.openxmlformats.org/officeDocument/2006/relationships/hyperlink" Target="http://mxchim0web05/eDashboard_CUU/_webforms/rep_mes_birthaging.aspx?a=TX1022005-01-GT-1" TargetMode="External"/><Relationship Id="rId43" Type="http://schemas.openxmlformats.org/officeDocument/2006/relationships/hyperlink" Target="http://mxchim0web05/eDashboard_CUU/_webforms/rep_mes_birthaging.aspx?a=TX1028578-01-CT-3" TargetMode="External"/><Relationship Id="rId48" Type="http://schemas.openxmlformats.org/officeDocument/2006/relationships/hyperlink" Target="http://mxchim0web05/eDashboard_CUU/_webforms/rep_mes_birthaging.aspx?a=TX1031415-01-EB-3" TargetMode="External"/><Relationship Id="rId64" Type="http://schemas.openxmlformats.org/officeDocument/2006/relationships/hyperlink" Target="http://mxchim0web05/eDashboard_CUU/_webforms/rep_mes_birthaging.aspx?a=TX1034827-01-EB-1" TargetMode="External"/><Relationship Id="rId69" Type="http://schemas.openxmlformats.org/officeDocument/2006/relationships/hyperlink" Target="http://mxchim0web05/eDashboard_CUU/_webforms/rep_mes_birthaging.aspx?a=TX1041562-00-BT-2" TargetMode="External"/><Relationship Id="rId113" Type="http://schemas.openxmlformats.org/officeDocument/2006/relationships/hyperlink" Target="http://mxchim0web05/eDashboard_CUU/_webforms/rep_mes_birthaging.aspx?a=TX1054968-02-BB-2" TargetMode="External"/><Relationship Id="rId118" Type="http://schemas.openxmlformats.org/officeDocument/2006/relationships/hyperlink" Target="http://mxchim0web05/eDashboard_CUU/_webforms/rep_mes_birthaging.aspx?a=TX1059410-01-CT-2" TargetMode="External"/><Relationship Id="rId134" Type="http://schemas.openxmlformats.org/officeDocument/2006/relationships/hyperlink" Target="http://mxchim0web05/eDashboard_CUU/_webforms/rep_mes_birthaging.aspx?a=TX1100618-01-A_01" TargetMode="External"/><Relationship Id="rId139" Type="http://schemas.openxmlformats.org/officeDocument/2006/relationships/hyperlink" Target="http://mxchim0web05/eDashboard_CUU/_webforms/rep_mes_birthaging.aspx?a=TX1449781-00-A_02" TargetMode="External"/><Relationship Id="rId80" Type="http://schemas.openxmlformats.org/officeDocument/2006/relationships/hyperlink" Target="http://mxchim0web05/eDashboard_CUU/_webforms/rep_mes_birthaging.aspx?a=TX1047030-01-DTH-3" TargetMode="External"/><Relationship Id="rId85" Type="http://schemas.openxmlformats.org/officeDocument/2006/relationships/hyperlink" Target="http://mxchim0web05/eDashboard_CUU/_webforms/rep_mes_birthaging.aspx?a=TX1049219-01-C_02" TargetMode="External"/><Relationship Id="rId3" Type="http://schemas.openxmlformats.org/officeDocument/2006/relationships/hyperlink" Target="http://mxchim0web05/eDashboard_CUU/_webforms/rep_mes_birthaging.aspx?a=TX1004318-00-GTH-2" TargetMode="External"/><Relationship Id="rId12" Type="http://schemas.openxmlformats.org/officeDocument/2006/relationships/hyperlink" Target="http://mxchim0web05/eDashboard_CUU/_webforms/rep_mes_birthaging.aspx?a=TX1019127-01-CTH-1" TargetMode="External"/><Relationship Id="rId17" Type="http://schemas.openxmlformats.org/officeDocument/2006/relationships/hyperlink" Target="http://mxchim0web05/eDashboard_CUU/_webforms/rep_mes_birthaging.aspx?a=TX1021748-00-B_01" TargetMode="External"/><Relationship Id="rId25" Type="http://schemas.openxmlformats.org/officeDocument/2006/relationships/hyperlink" Target="http://mxchim0web05/eDashboard_CUU/_webforms/rep_mes_birthaging.aspx?a=TX1022005-01-G_01" TargetMode="External"/><Relationship Id="rId33" Type="http://schemas.openxmlformats.org/officeDocument/2006/relationships/hyperlink" Target="http://mxchim0web05/eDashboard_CUU/_webforms/rep_mes_birthaging.aspx?a=TX1023049-02-DN_02" TargetMode="External"/><Relationship Id="rId38" Type="http://schemas.openxmlformats.org/officeDocument/2006/relationships/hyperlink" Target="http://mxchim0web05/eDashboard_CUU/_webforms/rep_mes_birthaging.aspx?a=TX1026696-00-GT-1" TargetMode="External"/><Relationship Id="rId46" Type="http://schemas.openxmlformats.org/officeDocument/2006/relationships/hyperlink" Target="http://mxchim0web05/eDashboard_CUU/_webforms/rep_mes_birthaging.aspx?a=TX1031308-01-FT-2" TargetMode="External"/><Relationship Id="rId59" Type="http://schemas.openxmlformats.org/officeDocument/2006/relationships/hyperlink" Target="http://mxchim0web05/eDashboard_CUU/_webforms/rep_mes_birthaging.aspx?a=TX1031503-02-AT-3" TargetMode="External"/><Relationship Id="rId67" Type="http://schemas.openxmlformats.org/officeDocument/2006/relationships/hyperlink" Target="http://mxchim0web05/eDashboard_CUU/_webforms/rep_mes_birthaging.aspx?a=TX1036279-00-F_01" TargetMode="External"/><Relationship Id="rId103" Type="http://schemas.openxmlformats.org/officeDocument/2006/relationships/hyperlink" Target="http://mxchim0web05/eDashboard_CUU/_webforms/rep_mes_birthaging.aspx?a=TX1051035-01-CB-1" TargetMode="External"/><Relationship Id="rId108" Type="http://schemas.openxmlformats.org/officeDocument/2006/relationships/hyperlink" Target="http://mxchim0web05/eDashboard_CUU/_webforms/rep_mes_birthaging.aspx?a=TX1054968-01-B_01" TargetMode="External"/><Relationship Id="rId116" Type="http://schemas.openxmlformats.org/officeDocument/2006/relationships/hyperlink" Target="http://mxchim0web05/eDashboard_CUU/_webforms/rep_mes_birthaging.aspx?a=TX1058358-03-G_03" TargetMode="External"/><Relationship Id="rId124" Type="http://schemas.openxmlformats.org/officeDocument/2006/relationships/hyperlink" Target="http://mxchim0web05/eDashboard_CUU/_webforms/rep_mes_birthaging.aspx?a=TX1061354-02-CB-1" TargetMode="External"/><Relationship Id="rId129" Type="http://schemas.openxmlformats.org/officeDocument/2006/relationships/hyperlink" Target="http://mxchim0web05/eDashboard_CUU/_webforms/rep_mes_birthaging.aspx?a=TX1066081-03-CTH-1" TargetMode="External"/><Relationship Id="rId137" Type="http://schemas.openxmlformats.org/officeDocument/2006/relationships/hyperlink" Target="http://mxchim0web05/eDashboard_CUU/_webforms/rep_mes_birthaging.aspx?a=TX1129903-00-AT-1" TargetMode="External"/><Relationship Id="rId20" Type="http://schemas.openxmlformats.org/officeDocument/2006/relationships/hyperlink" Target="http://mxchim0web05/eDashboard_CUU/_webforms/rep_mes_birthaging.aspx?a=TX1021748-00-CT-2" TargetMode="External"/><Relationship Id="rId41" Type="http://schemas.openxmlformats.org/officeDocument/2006/relationships/hyperlink" Target="http://mxchim0web05/eDashboard_CUU/_webforms/rep_mes_birthaging.aspx?a=TX1026865-00-DTH-2" TargetMode="External"/><Relationship Id="rId54" Type="http://schemas.openxmlformats.org/officeDocument/2006/relationships/hyperlink" Target="http://mxchim0web05/eDashboard_CUU/_webforms/rep_mes_birthaging.aspx?a=TX1031503-01-FTH-4" TargetMode="External"/><Relationship Id="rId62" Type="http://schemas.openxmlformats.org/officeDocument/2006/relationships/hyperlink" Target="http://mxchim0web05/eDashboard_CUU/_webforms/rep_mes_birthaging.aspx?a=TX1031503-02-BTH-1" TargetMode="External"/><Relationship Id="rId70" Type="http://schemas.openxmlformats.org/officeDocument/2006/relationships/hyperlink" Target="http://mxchim0web05/eDashboard_CUU/_webforms/rep_mes_birthaging.aspx?a=TX1041562-00-BTH-2" TargetMode="External"/><Relationship Id="rId75" Type="http://schemas.openxmlformats.org/officeDocument/2006/relationships/hyperlink" Target="http://mxchim0web05/eDashboard_CUU/_webforms/rep_mes_birthaging.aspx?a=TX1045483-00-JT-1" TargetMode="External"/><Relationship Id="rId83" Type="http://schemas.openxmlformats.org/officeDocument/2006/relationships/hyperlink" Target="http://mxchim0web05/eDashboard_CUU/_webforms/rep_mes_birthaging.aspx?a=TX1048708-02-FT-1" TargetMode="External"/><Relationship Id="rId88" Type="http://schemas.openxmlformats.org/officeDocument/2006/relationships/hyperlink" Target="http://mxchim0web05/eDashboard_CUU/_webforms/rep_mes_birthaging.aspx?a=TX1049371-01-D_01" TargetMode="External"/><Relationship Id="rId91" Type="http://schemas.openxmlformats.org/officeDocument/2006/relationships/hyperlink" Target="http://mxchim0web05/eDashboard_CUU/_webforms/rep_mes_birthaging.aspx?a=TX1049371-05-D_01" TargetMode="External"/><Relationship Id="rId96" Type="http://schemas.openxmlformats.org/officeDocument/2006/relationships/hyperlink" Target="http://mxchim0web05/eDashboard_CUU/_webforms/rep_mes_birthaging.aspx?a=TX1049524-01-D_01" TargetMode="External"/><Relationship Id="rId111" Type="http://schemas.openxmlformats.org/officeDocument/2006/relationships/hyperlink" Target="http://mxchim0web05/eDashboard_CUU/_webforms/rep_mes_birthaging.aspx?a=TX1054968-01-BTH-1" TargetMode="External"/><Relationship Id="rId132" Type="http://schemas.openxmlformats.org/officeDocument/2006/relationships/hyperlink" Target="http://mxchim0web05/eDashboard_CUU/_webforms/rep_mes_birthaging.aspx?a=TX1085638-01-CB-1" TargetMode="External"/><Relationship Id="rId140" Type="http://schemas.openxmlformats.org/officeDocument/2006/relationships/hyperlink" Target="http://mxchim0web05/eDashboard_CUU/_webforms/rep_mes_birthaging.aspx?a=TX1449781-00-AB-2" TargetMode="External"/><Relationship Id="rId145" Type="http://schemas.openxmlformats.org/officeDocument/2006/relationships/hyperlink" Target="http://mxchim0web05/eDashboard_CUU/_webforms/rep_mes_birthaging.aspx?a=TX1454671-00-ATH-2" TargetMode="External"/><Relationship Id="rId1" Type="http://schemas.openxmlformats.org/officeDocument/2006/relationships/hyperlink" Target="http://mxchim0web05/eDashboard_CUU/_webforms/rep_mes_birthaging.aspx?a=TX1004318-00-G_02" TargetMode="External"/><Relationship Id="rId6" Type="http://schemas.openxmlformats.org/officeDocument/2006/relationships/hyperlink" Target="http://mxchim0web05/eDashboard_CUU/_webforms/rep_mes_birthaging.aspx?a=TX1004318-00-HTH-1" TargetMode="External"/><Relationship Id="rId15" Type="http://schemas.openxmlformats.org/officeDocument/2006/relationships/hyperlink" Target="http://mxchim0web05/eDashboard_CUU/_webforms/rep_mes_birthaging.aspx?a=TX1020419-01-CTH-3" TargetMode="External"/><Relationship Id="rId23" Type="http://schemas.openxmlformats.org/officeDocument/2006/relationships/hyperlink" Target="http://mxchim0web05/eDashboard_CUU/_webforms/rep_mes_birthaging.aspx?a=TX1021749-00-BT-3" TargetMode="External"/><Relationship Id="rId28" Type="http://schemas.openxmlformats.org/officeDocument/2006/relationships/hyperlink" Target="http://mxchim0web05/eDashboard_CUU/_webforms/rep_mes_birthaging.aspx?a=TX1022005-01-GTH-1" TargetMode="External"/><Relationship Id="rId36" Type="http://schemas.openxmlformats.org/officeDocument/2006/relationships/hyperlink" Target="http://mxchim0web05/eDashboard_CUU/_webforms/rep_mes_birthaging.aspx?a=TX1026696-00-G_01" TargetMode="External"/><Relationship Id="rId49" Type="http://schemas.openxmlformats.org/officeDocument/2006/relationships/hyperlink" Target="http://mxchim0web05/eDashboard_CUU/_webforms/rep_mes_birthaging.aspx?a=TX1031415-01-ET-3" TargetMode="External"/><Relationship Id="rId57" Type="http://schemas.openxmlformats.org/officeDocument/2006/relationships/hyperlink" Target="http://mxchim0web05/eDashboard_CUU/_webforms/rep_mes_birthaging.aspx?a=TX1031503-01-GTH-1" TargetMode="External"/><Relationship Id="rId106" Type="http://schemas.openxmlformats.org/officeDocument/2006/relationships/hyperlink" Target="http://mxchim0web05/eDashboard_CUU/_webforms/rep_mes_birthaging.aspx?a=TX1054069-00-G_01" TargetMode="External"/><Relationship Id="rId114" Type="http://schemas.openxmlformats.org/officeDocument/2006/relationships/hyperlink" Target="http://mxchim0web05/eDashboard_CUU/_webforms/rep_mes_birthaging.aspx?a=TX1054968-02-BT-2" TargetMode="External"/><Relationship Id="rId119" Type="http://schemas.openxmlformats.org/officeDocument/2006/relationships/hyperlink" Target="http://mxchim0web05/eDashboard_CUU/_webforms/rep_mes_birthaging.aspx?a=TX1059410-01-CTH-2" TargetMode="External"/><Relationship Id="rId127" Type="http://schemas.openxmlformats.org/officeDocument/2006/relationships/hyperlink" Target="http://mxchim0web05/eDashboard_CUU/_webforms/rep_mes_birthaging.aspx?a=TX1066081-03-CB-1" TargetMode="External"/><Relationship Id="rId10" Type="http://schemas.openxmlformats.org/officeDocument/2006/relationships/hyperlink" Target="http://mxchim0web05/eDashboard_CUU/_webforms/rep_mes_birthaging.aspx?a=TX1019127-01-CB-1" TargetMode="External"/><Relationship Id="rId31" Type="http://schemas.openxmlformats.org/officeDocument/2006/relationships/hyperlink" Target="http://mxchim0web05/eDashboard_CUU/_webforms/rep_mes_birthaging.aspx?a=TX1023049-01-DTH-2" TargetMode="External"/><Relationship Id="rId44" Type="http://schemas.openxmlformats.org/officeDocument/2006/relationships/hyperlink" Target="http://mxchim0web05/eDashboard_CUU/_webforms/rep_mes_birthaging.aspx?a=TX1028578-01-CTH-3" TargetMode="External"/><Relationship Id="rId52" Type="http://schemas.openxmlformats.org/officeDocument/2006/relationships/hyperlink" Target="http://mxchim0web05/eDashboard_CUU/_webforms/rep_mes_birthaging.aspx?a=TX1031503-01-FB-4" TargetMode="External"/><Relationship Id="rId60" Type="http://schemas.openxmlformats.org/officeDocument/2006/relationships/hyperlink" Target="http://mxchim0web05/eDashboard_CUU/_webforms/rep_mes_birthaging.aspx?a=TX1031503-02-ATH-3" TargetMode="External"/><Relationship Id="rId65" Type="http://schemas.openxmlformats.org/officeDocument/2006/relationships/hyperlink" Target="http://mxchim0web05/eDashboard_CUU/_webforms/rep_mes_birthaging.aspx?a=TX1034827-01-ET-1" TargetMode="External"/><Relationship Id="rId73" Type="http://schemas.openxmlformats.org/officeDocument/2006/relationships/hyperlink" Target="http://mxchim0web05/eDashboard_CUU/_webforms/rep_mes_birthaging.aspx?a=TX1045483-00-J_01" TargetMode="External"/><Relationship Id="rId78" Type="http://schemas.openxmlformats.org/officeDocument/2006/relationships/hyperlink" Target="http://mxchim0web05/eDashboard_CUU/_webforms/rep_mes_birthaging.aspx?a=TX1047030-01-DB-3" TargetMode="External"/><Relationship Id="rId81" Type="http://schemas.openxmlformats.org/officeDocument/2006/relationships/hyperlink" Target="http://mxchim0web05/eDashboard_CUU/_webforms/rep_mes_birthaging.aspx?a=TX1048708-02-F_01" TargetMode="External"/><Relationship Id="rId86" Type="http://schemas.openxmlformats.org/officeDocument/2006/relationships/hyperlink" Target="http://mxchim0web05/eDashboard_CUU/_webforms/rep_mes_birthaging.aspx?a=TX1049219-01-CB-2" TargetMode="External"/><Relationship Id="rId94" Type="http://schemas.openxmlformats.org/officeDocument/2006/relationships/hyperlink" Target="http://mxchim0web05/eDashboard_CUU/_webforms/rep_mes_birthaging.aspx?a=TX1049371-08-D_01" TargetMode="External"/><Relationship Id="rId99" Type="http://schemas.openxmlformats.org/officeDocument/2006/relationships/hyperlink" Target="http://mxchim0web05/eDashboard_CUU/_webforms/rep_mes_birthaging.aspx?a=TX1050951-00-A_01" TargetMode="External"/><Relationship Id="rId101" Type="http://schemas.openxmlformats.org/officeDocument/2006/relationships/hyperlink" Target="http://mxchim0web05/eDashboard_CUU/_webforms/rep_mes_birthaging.aspx?a=TX1050951-00-ATH-1" TargetMode="External"/><Relationship Id="rId122" Type="http://schemas.openxmlformats.org/officeDocument/2006/relationships/hyperlink" Target="http://mxchim0web05/eDashboard_CUU/_webforms/rep_mes_birthaging.aspx?a=TX1060989-00-C_01" TargetMode="External"/><Relationship Id="rId130" Type="http://schemas.openxmlformats.org/officeDocument/2006/relationships/hyperlink" Target="http://mxchim0web05/eDashboard_CUU/_webforms/rep_mes_birthaging.aspx?a=TX1072541-00-C_01" TargetMode="External"/><Relationship Id="rId135" Type="http://schemas.openxmlformats.org/officeDocument/2006/relationships/hyperlink" Target="http://mxchim0web05/eDashboard_CUU/_webforms/rep_mes_birthaging.aspx?a=TX1100618-01-ATH-1" TargetMode="External"/><Relationship Id="rId143" Type="http://schemas.openxmlformats.org/officeDocument/2006/relationships/hyperlink" Target="http://mxchim0web05/eDashboard_CUU/_webforms/rep_mes_birthaging.aspx?a=TX1454671-00-A_02" TargetMode="External"/><Relationship Id="rId148" Type="http://schemas.openxmlformats.org/officeDocument/2006/relationships/hyperlink" Target="http://mxchim0web05/eDashboard_CUU/_webforms/rep_mes_birthaging.aspx?a=TX1456998-00-ATH-1" TargetMode="External"/><Relationship Id="rId4" Type="http://schemas.openxmlformats.org/officeDocument/2006/relationships/hyperlink" Target="http://mxchim0web05/eDashboard_CUU/_webforms/rep_mes_birthaging.aspx?a=TX1004318-00-H_01" TargetMode="External"/><Relationship Id="rId9" Type="http://schemas.openxmlformats.org/officeDocument/2006/relationships/hyperlink" Target="http://mxchim0web05/eDashboard_CUU/_webforms/rep_mes_birthaging.aspx?a=TX1019127-01-C_01" TargetMode="External"/><Relationship Id="rId13" Type="http://schemas.openxmlformats.org/officeDocument/2006/relationships/hyperlink" Target="http://mxchim0web05/eDashboard_CUU/_webforms/rep_mes_birthaging.aspx?a=TX1020419-01-C_03" TargetMode="External"/><Relationship Id="rId18" Type="http://schemas.openxmlformats.org/officeDocument/2006/relationships/hyperlink" Target="http://mxchim0web05/eDashboard_CUU/_webforms/rep_mes_birthaging.aspx?a=TX1021748-00-BTH-1" TargetMode="External"/><Relationship Id="rId39" Type="http://schemas.openxmlformats.org/officeDocument/2006/relationships/hyperlink" Target="http://mxchim0web05/eDashboard_CUU/_webforms/rep_mes_birthaging.aspx?a=TX1026696-00-GTH-1" TargetMode="External"/><Relationship Id="rId109" Type="http://schemas.openxmlformats.org/officeDocument/2006/relationships/hyperlink" Target="http://mxchim0web05/eDashboard_CUU/_webforms/rep_mes_birthaging.aspx?a=TX1054968-01-BB-1" TargetMode="External"/><Relationship Id="rId34" Type="http://schemas.openxmlformats.org/officeDocument/2006/relationships/hyperlink" Target="http://mxchim0web05/eDashboard_CUU/_webforms/rep_mes_birthaging.aspx?a=TX1023049-02-DT-2" TargetMode="External"/><Relationship Id="rId50" Type="http://schemas.openxmlformats.org/officeDocument/2006/relationships/hyperlink" Target="http://mxchim0web05/eDashboard_CUU/_webforms/rep_mes_birthaging.aspx?a=TX1031415-01-ETH-3" TargetMode="External"/><Relationship Id="rId55" Type="http://schemas.openxmlformats.org/officeDocument/2006/relationships/hyperlink" Target="http://mxchim0web05/eDashboard_CUU/_webforms/rep_mes_birthaging.aspx?a=TX1031503-01-G_01" TargetMode="External"/><Relationship Id="rId76" Type="http://schemas.openxmlformats.org/officeDocument/2006/relationships/hyperlink" Target="http://mxchim0web05/eDashboard_CUU/_webforms/rep_mes_birthaging.aspx?a=TX1045483-00-JTH-1" TargetMode="External"/><Relationship Id="rId97" Type="http://schemas.openxmlformats.org/officeDocument/2006/relationships/hyperlink" Target="http://mxchim0web05/eDashboard_CUU/_webforms/rep_mes_birthaging.aspx?a=TX1049524-01-DT-1" TargetMode="External"/><Relationship Id="rId104" Type="http://schemas.openxmlformats.org/officeDocument/2006/relationships/hyperlink" Target="http://mxchim0web05/eDashboard_CUU/_webforms/rep_mes_birthaging.aspx?a=TX1051035-01-CT-1" TargetMode="External"/><Relationship Id="rId120" Type="http://schemas.openxmlformats.org/officeDocument/2006/relationships/hyperlink" Target="http://mxchim0web05/eDashboard_CUU/_webforms/rep_mes_birthaging.aspx?a=TX1059891-00-D_01" TargetMode="External"/><Relationship Id="rId125" Type="http://schemas.openxmlformats.org/officeDocument/2006/relationships/hyperlink" Target="http://mxchim0web05/eDashboard_CUU/_webforms/rep_mes_birthaging.aspx?a=TX1061354-02-CTH-1" TargetMode="External"/><Relationship Id="rId141" Type="http://schemas.openxmlformats.org/officeDocument/2006/relationships/hyperlink" Target="http://mxchim0web05/eDashboard_CUU/_webforms/rep_mes_birthaging.aspx?a=TX1449781-00-AT-2" TargetMode="External"/><Relationship Id="rId146" Type="http://schemas.openxmlformats.org/officeDocument/2006/relationships/hyperlink" Target="http://mxchim0web05/eDashboard_CUU/_webforms/rep_mes_birthaging.aspx?a=TX1456998-00-A_01" TargetMode="External"/><Relationship Id="rId7" Type="http://schemas.openxmlformats.org/officeDocument/2006/relationships/hyperlink" Target="http://mxchim0web05/eDashboard_CUU/_webforms/rep_mes_birthaging.aspx?a=TX1009582-01-B_03" TargetMode="External"/><Relationship Id="rId71" Type="http://schemas.openxmlformats.org/officeDocument/2006/relationships/hyperlink" Target="http://mxchim0web05/eDashboard_CUU/_webforms/rep_mes_birthaging.aspx?a=TX1043900-00-E_01" TargetMode="External"/><Relationship Id="rId92" Type="http://schemas.openxmlformats.org/officeDocument/2006/relationships/hyperlink" Target="http://mxchim0web05/eDashboard_CUU/_webforms/rep_mes_birthaging.aspx?a=TX1049371-05-DT-1" TargetMode="External"/><Relationship Id="rId2" Type="http://schemas.openxmlformats.org/officeDocument/2006/relationships/hyperlink" Target="http://mxchim0web05/eDashboard_CUU/_webforms/rep_mes_birthaging.aspx?a=TX1004318-00-GT-2" TargetMode="External"/><Relationship Id="rId29" Type="http://schemas.openxmlformats.org/officeDocument/2006/relationships/hyperlink" Target="http://mxchim0web05/eDashboard_CUU/_webforms/rep_mes_birthaging.aspx?a=TX1023049-01-D_02" TargetMode="External"/><Relationship Id="rId24" Type="http://schemas.openxmlformats.org/officeDocument/2006/relationships/hyperlink" Target="http://mxchim0web05/eDashboard_CUU/_webforms/rep_mes_birthaging.aspx?a=TX1021749-00-BTH-3" TargetMode="External"/><Relationship Id="rId40" Type="http://schemas.openxmlformats.org/officeDocument/2006/relationships/hyperlink" Target="http://mxchim0web05/eDashboard_CUU/_webforms/rep_mes_birthaging.aspx?a=TX1026865-00-D_02" TargetMode="External"/><Relationship Id="rId45" Type="http://schemas.openxmlformats.org/officeDocument/2006/relationships/hyperlink" Target="http://mxchim0web05/eDashboard_CUU/_webforms/rep_mes_birthaging.aspx?a=TX1031308-01-F_02" TargetMode="External"/><Relationship Id="rId66" Type="http://schemas.openxmlformats.org/officeDocument/2006/relationships/hyperlink" Target="http://mxchim0web05/eDashboard_CUU/_webforms/rep_mes_birthaging.aspx?a=TX1034827-01-ETH-1" TargetMode="External"/><Relationship Id="rId87" Type="http://schemas.openxmlformats.org/officeDocument/2006/relationships/hyperlink" Target="http://mxchim0web05/eDashboard_CUU/_webforms/rep_mes_birthaging.aspx?a=TX1049219-01-CT-2" TargetMode="External"/><Relationship Id="rId110" Type="http://schemas.openxmlformats.org/officeDocument/2006/relationships/hyperlink" Target="http://mxchim0web05/eDashboard_CUU/_webforms/rep_mes_birthaging.aspx?a=TX1054968-01-BT-1" TargetMode="External"/><Relationship Id="rId115" Type="http://schemas.openxmlformats.org/officeDocument/2006/relationships/hyperlink" Target="http://mxchim0web05/eDashboard_CUU/_webforms/rep_mes_birthaging.aspx?a=TX1058220-02-E_02" TargetMode="External"/><Relationship Id="rId131" Type="http://schemas.openxmlformats.org/officeDocument/2006/relationships/hyperlink" Target="http://mxchim0web05/eDashboard_CUU/_webforms/rep_mes_birthaging.aspx?a=TX1085638-01-C_01" TargetMode="External"/><Relationship Id="rId136" Type="http://schemas.openxmlformats.org/officeDocument/2006/relationships/hyperlink" Target="http://mxchim0web05/eDashboard_CUU/_webforms/rep_mes_birthaging.aspx?a=TX1129901-00-ATH-1" TargetMode="External"/><Relationship Id="rId61" Type="http://schemas.openxmlformats.org/officeDocument/2006/relationships/hyperlink" Target="http://mxchim0web05/eDashboard_CUU/_webforms/rep_mes_birthaging.aspx?a=TX1031503-02-B_01" TargetMode="External"/><Relationship Id="rId82" Type="http://schemas.openxmlformats.org/officeDocument/2006/relationships/hyperlink" Target="http://mxchim0web05/eDashboard_CUU/_webforms/rep_mes_birthaging.aspx?a=TX1048708-02-FB-1" TargetMode="External"/><Relationship Id="rId19" Type="http://schemas.openxmlformats.org/officeDocument/2006/relationships/hyperlink" Target="http://mxchim0web05/eDashboard_CUU/_webforms/rep_mes_birthaging.aspx?a=TX1021748-00-C_02" TargetMode="External"/><Relationship Id="rId14" Type="http://schemas.openxmlformats.org/officeDocument/2006/relationships/hyperlink" Target="http://mxchim0web05/eDashboard_CUU/_webforms/rep_mes_birthaging.aspx?a=TX1020419-01-CB-3" TargetMode="External"/><Relationship Id="rId30" Type="http://schemas.openxmlformats.org/officeDocument/2006/relationships/hyperlink" Target="http://mxchim0web05/eDashboard_CUU/_webforms/rep_mes_birthaging.aspx?a=TX1023049-01-DT-2" TargetMode="External"/><Relationship Id="rId35" Type="http://schemas.openxmlformats.org/officeDocument/2006/relationships/hyperlink" Target="http://mxchim0web05/eDashboard_CUU/_webforms/rep_mes_birthaging.aspx?a=TX1023049-02-DTH-2" TargetMode="External"/><Relationship Id="rId56" Type="http://schemas.openxmlformats.org/officeDocument/2006/relationships/hyperlink" Target="http://mxchim0web05/eDashboard_CUU/_webforms/rep_mes_birthaging.aspx?a=TX1031503-01-GB-1" TargetMode="External"/><Relationship Id="rId77" Type="http://schemas.openxmlformats.org/officeDocument/2006/relationships/hyperlink" Target="http://mxchim0web05/eDashboard_CUU/_webforms/rep_mes_birthaging.aspx?a=TX1045490-00-G_01" TargetMode="External"/><Relationship Id="rId100" Type="http://schemas.openxmlformats.org/officeDocument/2006/relationships/hyperlink" Target="http://mxchim0web05/eDashboard_CUU/_webforms/rep_mes_birthaging.aspx?a=TX1050951-00-AT-1" TargetMode="External"/><Relationship Id="rId105" Type="http://schemas.openxmlformats.org/officeDocument/2006/relationships/hyperlink" Target="http://mxchim0web05/eDashboard_CUU/_webforms/rep_mes_birthaging.aspx?a=TX1051035-01-CTH-1" TargetMode="External"/><Relationship Id="rId126" Type="http://schemas.openxmlformats.org/officeDocument/2006/relationships/hyperlink" Target="http://mxchim0web05/eDashboard_CUU/_webforms/rep_mes_birthaging.aspx?a=TX1066081-03-C_01" TargetMode="External"/><Relationship Id="rId147" Type="http://schemas.openxmlformats.org/officeDocument/2006/relationships/hyperlink" Target="http://mxchim0web05/eDashboard_CUU/_webforms/rep_mes_birthaging.aspx?a=TX1456998-00-AT-1" TargetMode="External"/><Relationship Id="rId8" Type="http://schemas.openxmlformats.org/officeDocument/2006/relationships/hyperlink" Target="http://mxchim0web05/eDashboard_CUU/_webforms/rep_mes_birthaging.aspx?a=TX1009582-01-BT-3" TargetMode="External"/><Relationship Id="rId51" Type="http://schemas.openxmlformats.org/officeDocument/2006/relationships/hyperlink" Target="http://mxchim0web05/eDashboard_CUU/_webforms/rep_mes_birthaging.aspx?a=TX1031503-01-F_04" TargetMode="External"/><Relationship Id="rId72" Type="http://schemas.openxmlformats.org/officeDocument/2006/relationships/hyperlink" Target="http://mxchim0web05/eDashboard_CUU/_webforms/rep_mes_birthaging.aspx?a=TX1045451-00-H_01" TargetMode="External"/><Relationship Id="rId93" Type="http://schemas.openxmlformats.org/officeDocument/2006/relationships/hyperlink" Target="http://mxchim0web05/eDashboard_CUU/_webforms/rep_mes_birthaging.aspx?a=TX1049371-05-DTH-1" TargetMode="External"/><Relationship Id="rId98" Type="http://schemas.openxmlformats.org/officeDocument/2006/relationships/hyperlink" Target="http://mxchim0web05/eDashboard_CUU/_webforms/rep_mes_birthaging.aspx?a=TX1049678-00-H_03" TargetMode="External"/><Relationship Id="rId121" Type="http://schemas.openxmlformats.org/officeDocument/2006/relationships/hyperlink" Target="http://mxchim0web05/eDashboard_CUU/_webforms/rep_mes_birthaging.aspx?a=TX1059891-00-E_02" TargetMode="External"/><Relationship Id="rId142" Type="http://schemas.openxmlformats.org/officeDocument/2006/relationships/hyperlink" Target="http://mxchim0web05/eDashboard_CUU/_webforms/rep_mes_birthaging.aspx?a=TX1449781-00-ATH-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161DF-A1B0-4A16-8041-2AEE10D69E6E}">
  <dimension ref="A1:Y172"/>
  <sheetViews>
    <sheetView showGridLines="0" tabSelected="1" workbookViewId="0">
      <selection activeCell="H12" sqref="H12:J13"/>
    </sheetView>
  </sheetViews>
  <sheetFormatPr defaultRowHeight="15"/>
  <cols>
    <col min="1" max="1" width="19.85546875" bestFit="1" customWidth="1"/>
    <col min="2" max="2" width="8" bestFit="1" customWidth="1"/>
    <col min="3" max="3" width="9" bestFit="1" customWidth="1"/>
    <col min="4" max="4" width="9.5703125" bestFit="1" customWidth="1"/>
    <col min="5" max="5" width="8.140625" bestFit="1" customWidth="1"/>
    <col min="6" max="6" width="12" bestFit="1" customWidth="1"/>
    <col min="7" max="7" width="1.140625" customWidth="1"/>
    <col min="8" max="8" width="8.42578125" bestFit="1" customWidth="1"/>
    <col min="9" max="9" width="5.7109375" bestFit="1" customWidth="1"/>
    <col min="10" max="10" width="8.140625" bestFit="1" customWidth="1"/>
    <col min="11" max="11" width="28.5703125" bestFit="1" customWidth="1"/>
    <col min="12" max="12" width="15" bestFit="1" customWidth="1"/>
    <col min="13" max="13" width="9" style="84" customWidth="1"/>
    <col min="14" max="14" width="19.5703125" bestFit="1" customWidth="1"/>
    <col min="15" max="15" width="8" bestFit="1" customWidth="1"/>
    <col min="16" max="16" width="9" bestFit="1" customWidth="1"/>
    <col min="17" max="17" width="9.5703125" bestFit="1" customWidth="1"/>
    <col min="18" max="18" width="8.140625" bestFit="1" customWidth="1"/>
    <col min="19" max="19" width="12" bestFit="1" customWidth="1"/>
    <col min="20" max="20" width="1.140625" customWidth="1"/>
    <col min="21" max="21" width="8.42578125" bestFit="1" customWidth="1"/>
    <col min="22" max="22" width="6" bestFit="1" customWidth="1"/>
    <col min="23" max="23" width="8.140625" bestFit="1" customWidth="1"/>
    <col min="24" max="24" width="30.85546875" bestFit="1" customWidth="1"/>
    <col min="25" max="25" width="15" bestFit="1" customWidth="1"/>
  </cols>
  <sheetData>
    <row r="1" spans="1:25" ht="16.5" thickTop="1" thickBot="1">
      <c r="A1" s="90" t="s">
        <v>188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N1" s="90" t="s">
        <v>189</v>
      </c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</row>
    <row r="2" spans="1:25" ht="16.5" thickTop="1" thickBot="1">
      <c r="A2" s="1"/>
      <c r="B2" s="1"/>
      <c r="C2" s="1"/>
      <c r="D2" s="1"/>
      <c r="E2" s="1"/>
      <c r="F2" s="1"/>
      <c r="G2" s="2"/>
      <c r="H2" s="3"/>
      <c r="I2" s="4"/>
      <c r="J2" s="4"/>
      <c r="K2" s="5" t="s">
        <v>0</v>
      </c>
      <c r="L2" s="5" t="s">
        <v>0</v>
      </c>
      <c r="M2" s="85"/>
      <c r="N2" s="1"/>
      <c r="O2" s="1"/>
      <c r="P2" s="1"/>
      <c r="Q2" s="1"/>
      <c r="R2" s="1"/>
      <c r="S2" s="1"/>
      <c r="T2" s="2"/>
      <c r="U2" s="3" t="s">
        <v>178</v>
      </c>
      <c r="V2" s="4"/>
      <c r="W2" s="4"/>
      <c r="X2" s="5" t="s">
        <v>0</v>
      </c>
      <c r="Y2" s="5" t="s">
        <v>0</v>
      </c>
    </row>
    <row r="3" spans="1:25" ht="15.75" thickBot="1">
      <c r="A3" s="6"/>
      <c r="B3" s="6"/>
      <c r="C3" s="6"/>
      <c r="D3" s="6"/>
      <c r="E3" s="6"/>
      <c r="F3" s="6"/>
      <c r="G3" s="2"/>
      <c r="H3" s="7" t="s">
        <v>1</v>
      </c>
      <c r="I3" s="8"/>
      <c r="J3" s="9"/>
      <c r="K3" s="5" t="s">
        <v>2</v>
      </c>
      <c r="L3" s="5" t="s">
        <v>3</v>
      </c>
      <c r="M3" s="85"/>
      <c r="N3" s="6"/>
      <c r="O3" s="6"/>
      <c r="P3" s="6"/>
      <c r="Q3" s="6"/>
      <c r="R3" s="6"/>
      <c r="S3" s="6"/>
      <c r="T3" s="2"/>
      <c r="U3" s="7" t="s">
        <v>1</v>
      </c>
      <c r="V3" s="8"/>
      <c r="W3" s="9"/>
      <c r="X3" s="5" t="s">
        <v>2</v>
      </c>
      <c r="Y3" s="5" t="s">
        <v>3</v>
      </c>
    </row>
    <row r="4" spans="1:25" ht="15.75" thickTop="1">
      <c r="A4" s="10" t="s">
        <v>4</v>
      </c>
      <c r="B4" s="11" t="s">
        <v>5</v>
      </c>
      <c r="C4" s="12" t="s">
        <v>2</v>
      </c>
      <c r="D4" s="12" t="s">
        <v>6</v>
      </c>
      <c r="E4" s="13" t="s">
        <v>7</v>
      </c>
      <c r="F4" s="14" t="s">
        <v>8</v>
      </c>
      <c r="G4" s="2"/>
      <c r="H4" s="15" t="s">
        <v>9</v>
      </c>
      <c r="I4" s="15" t="s">
        <v>10</v>
      </c>
      <c r="J4" s="16" t="s">
        <v>7</v>
      </c>
      <c r="K4" s="17">
        <v>3478</v>
      </c>
      <c r="L4" s="17">
        <v>17259</v>
      </c>
      <c r="M4" s="86"/>
      <c r="N4" s="10" t="s">
        <v>4</v>
      </c>
      <c r="O4" s="11" t="s">
        <v>5</v>
      </c>
      <c r="P4" s="12" t="s">
        <v>2</v>
      </c>
      <c r="Q4" s="12" t="s">
        <v>6</v>
      </c>
      <c r="R4" s="13" t="s">
        <v>7</v>
      </c>
      <c r="S4" s="14" t="s">
        <v>8</v>
      </c>
      <c r="T4" s="2"/>
      <c r="U4" s="15" t="s">
        <v>9</v>
      </c>
      <c r="V4" s="15" t="s">
        <v>10</v>
      </c>
      <c r="W4" s="16" t="s">
        <v>7</v>
      </c>
      <c r="X4" s="17">
        <v>-2629</v>
      </c>
      <c r="Y4" s="68">
        <v>228773</v>
      </c>
    </row>
    <row r="5" spans="1:25">
      <c r="A5" s="18" t="s">
        <v>11</v>
      </c>
      <c r="B5" s="19">
        <v>51</v>
      </c>
      <c r="C5" s="19">
        <v>114</v>
      </c>
      <c r="D5" s="19">
        <v>63</v>
      </c>
      <c r="E5" s="20">
        <v>56</v>
      </c>
      <c r="F5" s="19"/>
      <c r="G5" s="21"/>
      <c r="H5" s="22">
        <v>0</v>
      </c>
      <c r="I5" s="22">
        <v>-51</v>
      </c>
      <c r="J5" s="23">
        <v>175</v>
      </c>
      <c r="K5" s="91" t="str">
        <f>IFERROR(VLOOKUP(A5,$N:$Y,1,0),"NO REPORTA VERSION ACTUAL")</f>
        <v>TX1004318-00-G_02</v>
      </c>
      <c r="L5" s="25"/>
      <c r="M5" s="87"/>
      <c r="N5" s="18" t="s">
        <v>11</v>
      </c>
      <c r="O5" s="19">
        <v>51</v>
      </c>
      <c r="P5" s="19">
        <v>114</v>
      </c>
      <c r="Q5" s="19">
        <v>63</v>
      </c>
      <c r="R5" s="20">
        <v>56</v>
      </c>
      <c r="S5" s="19"/>
      <c r="T5" s="21"/>
      <c r="U5" s="69">
        <v>66</v>
      </c>
      <c r="V5" s="69">
        <v>15</v>
      </c>
      <c r="W5" s="16">
        <v>25</v>
      </c>
      <c r="X5" s="97" t="str">
        <f>IFERROR(VLOOKUP(N5,$A:$L,1,0),"NO REPORTA VERSION ANTERIOR")</f>
        <v>TX1004318-00-G_02</v>
      </c>
      <c r="Y5" s="25"/>
    </row>
    <row r="6" spans="1:25">
      <c r="A6" s="26" t="s">
        <v>12</v>
      </c>
      <c r="B6" s="27">
        <v>1</v>
      </c>
      <c r="C6" s="27">
        <v>1</v>
      </c>
      <c r="D6" s="27">
        <v>0</v>
      </c>
      <c r="E6" s="28"/>
      <c r="F6" s="27"/>
      <c r="G6" s="21"/>
      <c r="H6" s="24">
        <v>25</v>
      </c>
      <c r="I6" s="24">
        <v>24</v>
      </c>
      <c r="J6" s="29"/>
      <c r="K6" s="91" t="str">
        <f>IFERROR(VLOOKUP(A6,$N:$Y,1,0),"NO REPORTA VERSION ACTUAL")</f>
        <v>NO REPORTA VERSION ACTUAL</v>
      </c>
      <c r="L6" s="25"/>
      <c r="M6" s="87"/>
      <c r="N6" s="26" t="s">
        <v>13</v>
      </c>
      <c r="O6" s="27">
        <v>3</v>
      </c>
      <c r="P6" s="27">
        <v>0</v>
      </c>
      <c r="Q6" s="27">
        <v>-3</v>
      </c>
      <c r="R6" s="28"/>
      <c r="S6" s="27"/>
      <c r="T6" s="21"/>
      <c r="U6" s="70">
        <v>12</v>
      </c>
      <c r="V6" s="70">
        <v>9</v>
      </c>
      <c r="W6" s="71"/>
      <c r="X6" s="97" t="str">
        <f t="shared" ref="X6:X69" si="0">IFERROR(VLOOKUP(N6,$A:$L,1,0),"NO REPORTA VERSION ANTERIOR")</f>
        <v>TX1004318-00-GT-2</v>
      </c>
      <c r="Y6" s="25"/>
    </row>
    <row r="7" spans="1:25">
      <c r="A7" s="26" t="s">
        <v>13</v>
      </c>
      <c r="B7" s="27">
        <v>3</v>
      </c>
      <c r="C7" s="27">
        <v>0</v>
      </c>
      <c r="D7" s="27">
        <v>-3</v>
      </c>
      <c r="E7" s="28"/>
      <c r="F7" s="27"/>
      <c r="G7" s="21"/>
      <c r="H7" s="24">
        <v>25</v>
      </c>
      <c r="I7" s="24">
        <v>22</v>
      </c>
      <c r="J7" s="29"/>
      <c r="K7" s="91" t="str">
        <f t="shared" ref="K7:K69" si="1">IFERROR(VLOOKUP(A7,$N:$Y,1,0),"NO REPORTA VERSION ACTUAL")</f>
        <v>TX1004318-00-GT-2</v>
      </c>
      <c r="L7" s="25"/>
      <c r="M7" s="87"/>
      <c r="N7" s="30" t="s">
        <v>14</v>
      </c>
      <c r="O7" s="31">
        <v>17</v>
      </c>
      <c r="P7" s="31">
        <v>13</v>
      </c>
      <c r="Q7" s="31">
        <v>-4</v>
      </c>
      <c r="R7" s="32"/>
      <c r="S7" s="31"/>
      <c r="T7" s="21"/>
      <c r="U7" s="72">
        <v>18</v>
      </c>
      <c r="V7" s="72">
        <v>1</v>
      </c>
      <c r="W7" s="73"/>
      <c r="X7" s="97" t="str">
        <f t="shared" si="0"/>
        <v>TX1004318-00-GTH-2</v>
      </c>
      <c r="Y7" s="25"/>
    </row>
    <row r="8" spans="1:25">
      <c r="A8" s="30" t="s">
        <v>14</v>
      </c>
      <c r="B8" s="31">
        <v>17</v>
      </c>
      <c r="C8" s="31">
        <v>13</v>
      </c>
      <c r="D8" s="31">
        <v>-4</v>
      </c>
      <c r="E8" s="32"/>
      <c r="F8" s="31"/>
      <c r="G8" s="21"/>
      <c r="H8" s="33">
        <v>197</v>
      </c>
      <c r="I8" s="33">
        <v>180</v>
      </c>
      <c r="J8" s="34"/>
      <c r="K8" s="91" t="str">
        <f t="shared" si="1"/>
        <v>TX1004318-00-GTH-2</v>
      </c>
      <c r="L8" s="25"/>
      <c r="M8" s="87"/>
      <c r="N8" s="18" t="s">
        <v>15</v>
      </c>
      <c r="O8" s="19">
        <v>42</v>
      </c>
      <c r="P8" s="19">
        <v>49</v>
      </c>
      <c r="Q8" s="19">
        <v>7</v>
      </c>
      <c r="R8" s="20">
        <v>4</v>
      </c>
      <c r="S8" s="19"/>
      <c r="T8" s="21"/>
      <c r="U8" s="69">
        <v>3</v>
      </c>
      <c r="V8" s="69">
        <v>-39</v>
      </c>
      <c r="W8" s="16">
        <v>-41</v>
      </c>
      <c r="X8" s="97" t="str">
        <f t="shared" si="0"/>
        <v>TX1004318-00-H_01</v>
      </c>
      <c r="Y8" s="25"/>
    </row>
    <row r="9" spans="1:25">
      <c r="A9" s="18" t="s">
        <v>15</v>
      </c>
      <c r="B9" s="19">
        <v>42</v>
      </c>
      <c r="C9" s="19">
        <v>49</v>
      </c>
      <c r="D9" s="19">
        <v>7</v>
      </c>
      <c r="E9" s="20">
        <v>4</v>
      </c>
      <c r="F9" s="19"/>
      <c r="G9" s="21"/>
      <c r="H9" s="22">
        <v>0</v>
      </c>
      <c r="I9" s="22">
        <v>-42</v>
      </c>
      <c r="J9" s="23">
        <v>16</v>
      </c>
      <c r="K9" s="91" t="str">
        <f t="shared" si="1"/>
        <v>TX1004318-00-H_01</v>
      </c>
      <c r="L9" s="25"/>
      <c r="M9" s="87"/>
      <c r="N9" s="26" t="s">
        <v>16</v>
      </c>
      <c r="O9" s="27">
        <v>8</v>
      </c>
      <c r="P9" s="27">
        <v>0</v>
      </c>
      <c r="Q9" s="27">
        <v>-8</v>
      </c>
      <c r="R9" s="28"/>
      <c r="S9" s="27"/>
      <c r="T9" s="21"/>
      <c r="U9" s="70">
        <v>8</v>
      </c>
      <c r="V9" s="70">
        <v>0</v>
      </c>
      <c r="W9" s="71"/>
      <c r="X9" s="97" t="str">
        <f t="shared" si="0"/>
        <v>TX1004318-00-HT-1</v>
      </c>
      <c r="Y9" s="25"/>
    </row>
    <row r="10" spans="1:25">
      <c r="A10" s="26" t="s">
        <v>16</v>
      </c>
      <c r="B10" s="27">
        <v>8</v>
      </c>
      <c r="C10" s="27">
        <v>0</v>
      </c>
      <c r="D10" s="27">
        <v>-8</v>
      </c>
      <c r="E10" s="28"/>
      <c r="F10" s="27"/>
      <c r="G10" s="21"/>
      <c r="H10" s="24">
        <v>12</v>
      </c>
      <c r="I10" s="24">
        <v>4</v>
      </c>
      <c r="J10" s="29"/>
      <c r="K10" s="91" t="str">
        <f t="shared" si="1"/>
        <v>TX1004318-00-HT-1</v>
      </c>
      <c r="L10" s="25"/>
      <c r="M10" s="87"/>
      <c r="N10" s="30" t="s">
        <v>17</v>
      </c>
      <c r="O10" s="31">
        <v>3</v>
      </c>
      <c r="P10" s="31">
        <v>8</v>
      </c>
      <c r="Q10" s="31">
        <v>5</v>
      </c>
      <c r="R10" s="32"/>
      <c r="S10" s="31"/>
      <c r="T10" s="21"/>
      <c r="U10" s="72">
        <v>1</v>
      </c>
      <c r="V10" s="72">
        <v>-2</v>
      </c>
      <c r="W10" s="73"/>
      <c r="X10" s="97" t="str">
        <f t="shared" si="0"/>
        <v>TX1004318-00-HTH-1</v>
      </c>
      <c r="Y10" s="25"/>
    </row>
    <row r="11" spans="1:25">
      <c r="A11" s="30" t="s">
        <v>17</v>
      </c>
      <c r="B11" s="31">
        <v>3</v>
      </c>
      <c r="C11" s="31">
        <v>8</v>
      </c>
      <c r="D11" s="31">
        <v>5</v>
      </c>
      <c r="E11" s="32"/>
      <c r="F11" s="31"/>
      <c r="G11" s="21"/>
      <c r="H11" s="33">
        <v>57</v>
      </c>
      <c r="I11" s="33">
        <v>54</v>
      </c>
      <c r="J11" s="34"/>
      <c r="K11" s="91" t="str">
        <f t="shared" si="1"/>
        <v>TX1004318-00-HTH-1</v>
      </c>
      <c r="L11" s="25"/>
      <c r="M11" s="87"/>
      <c r="N11" s="43" t="s">
        <v>18</v>
      </c>
      <c r="O11" s="44">
        <v>119</v>
      </c>
      <c r="P11" s="44">
        <v>494</v>
      </c>
      <c r="Q11" s="44">
        <v>375</v>
      </c>
      <c r="R11" s="45">
        <v>208</v>
      </c>
      <c r="S11" s="44"/>
      <c r="T11" s="21"/>
      <c r="U11" s="69">
        <v>146</v>
      </c>
      <c r="V11" s="69">
        <v>27</v>
      </c>
      <c r="W11" s="16">
        <v>191</v>
      </c>
      <c r="X11" s="97" t="str">
        <f t="shared" si="0"/>
        <v>TX1009582-01-B_03</v>
      </c>
      <c r="Y11" s="25"/>
    </row>
    <row r="12" spans="1:25">
      <c r="A12" s="43" t="s">
        <v>18</v>
      </c>
      <c r="B12" s="44">
        <v>119</v>
      </c>
      <c r="C12" s="44">
        <v>494</v>
      </c>
      <c r="D12" s="44">
        <v>375</v>
      </c>
      <c r="E12" s="45">
        <v>208</v>
      </c>
      <c r="F12" s="44"/>
      <c r="G12" s="38"/>
      <c r="H12" s="36">
        <v>0</v>
      </c>
      <c r="I12" s="36">
        <v>-119</v>
      </c>
      <c r="J12" s="37">
        <v>663</v>
      </c>
      <c r="K12" s="91" t="str">
        <f t="shared" si="1"/>
        <v>TX1009582-01-B_03</v>
      </c>
      <c r="L12" s="25"/>
      <c r="M12" s="87"/>
      <c r="N12" s="49" t="s">
        <v>19</v>
      </c>
      <c r="O12" s="50">
        <v>172</v>
      </c>
      <c r="P12" s="50">
        <v>5</v>
      </c>
      <c r="Q12" s="50">
        <v>-167</v>
      </c>
      <c r="R12" s="51"/>
      <c r="S12" s="50"/>
      <c r="T12" s="21"/>
      <c r="U12" s="72">
        <v>336</v>
      </c>
      <c r="V12" s="72">
        <v>164</v>
      </c>
      <c r="W12" s="73"/>
      <c r="X12" s="97" t="str">
        <f t="shared" si="0"/>
        <v>TX1009582-01-BT-3</v>
      </c>
      <c r="Y12" s="25"/>
    </row>
    <row r="13" spans="1:25">
      <c r="A13" s="49" t="s">
        <v>19</v>
      </c>
      <c r="B13" s="50">
        <v>172</v>
      </c>
      <c r="C13" s="50">
        <v>5</v>
      </c>
      <c r="D13" s="50">
        <v>-167</v>
      </c>
      <c r="E13" s="51"/>
      <c r="F13" s="50"/>
      <c r="G13" s="42"/>
      <c r="H13" s="40">
        <v>954</v>
      </c>
      <c r="I13" s="40">
        <v>782</v>
      </c>
      <c r="J13" s="41"/>
      <c r="K13" s="91" t="str">
        <f t="shared" si="1"/>
        <v>TX1009582-01-BT-3</v>
      </c>
      <c r="L13" s="25"/>
      <c r="M13" s="87"/>
      <c r="N13" s="43" t="s">
        <v>179</v>
      </c>
      <c r="O13" s="44">
        <v>0</v>
      </c>
      <c r="P13" s="44">
        <v>22</v>
      </c>
      <c r="Q13" s="44">
        <v>22</v>
      </c>
      <c r="R13" s="45">
        <v>51</v>
      </c>
      <c r="S13" s="44"/>
      <c r="T13" s="38"/>
      <c r="U13" s="69">
        <v>1027</v>
      </c>
      <c r="V13" s="69">
        <v>1027</v>
      </c>
      <c r="W13" s="16">
        <v>1047</v>
      </c>
      <c r="X13" s="97" t="str">
        <f t="shared" si="0"/>
        <v>NO REPORTA VERSION ANTERIOR</v>
      </c>
      <c r="Y13" s="25"/>
    </row>
    <row r="14" spans="1:25">
      <c r="A14" s="43" t="s">
        <v>20</v>
      </c>
      <c r="B14" s="44">
        <v>0</v>
      </c>
      <c r="C14" s="44">
        <v>8</v>
      </c>
      <c r="D14" s="44">
        <v>8</v>
      </c>
      <c r="E14" s="45">
        <v>29</v>
      </c>
      <c r="F14" s="44"/>
      <c r="G14" s="21"/>
      <c r="H14" s="22">
        <v>26</v>
      </c>
      <c r="I14" s="22">
        <v>26</v>
      </c>
      <c r="J14" s="23">
        <v>67</v>
      </c>
      <c r="K14" s="91" t="str">
        <f t="shared" si="1"/>
        <v>TX1019127-01-CB-1</v>
      </c>
      <c r="L14" s="25"/>
      <c r="M14" s="87"/>
      <c r="N14" s="46" t="s">
        <v>20</v>
      </c>
      <c r="O14" s="47">
        <v>0</v>
      </c>
      <c r="P14" s="47">
        <v>8</v>
      </c>
      <c r="Q14" s="47">
        <v>8</v>
      </c>
      <c r="R14" s="48"/>
      <c r="S14" s="47"/>
      <c r="T14" s="42"/>
      <c r="U14" s="70">
        <v>1</v>
      </c>
      <c r="V14" s="70">
        <v>1</v>
      </c>
      <c r="W14" s="71"/>
      <c r="X14" s="97" t="str">
        <f t="shared" si="0"/>
        <v>TX1019127-01-CB-1</v>
      </c>
      <c r="Y14" s="25"/>
    </row>
    <row r="15" spans="1:25">
      <c r="A15" s="46" t="s">
        <v>21</v>
      </c>
      <c r="B15" s="47">
        <v>0</v>
      </c>
      <c r="C15" s="47">
        <v>16</v>
      </c>
      <c r="D15" s="47">
        <v>16</v>
      </c>
      <c r="E15" s="48"/>
      <c r="F15" s="47"/>
      <c r="G15" s="21"/>
      <c r="H15" s="24">
        <v>14</v>
      </c>
      <c r="I15" s="24">
        <v>14</v>
      </c>
      <c r="J15" s="29"/>
      <c r="K15" s="91" t="str">
        <f t="shared" si="1"/>
        <v>TX1019127-01-CT-1</v>
      </c>
      <c r="L15" s="25"/>
      <c r="M15" s="87"/>
      <c r="N15" s="46" t="s">
        <v>21</v>
      </c>
      <c r="O15" s="47">
        <v>0</v>
      </c>
      <c r="P15" s="47">
        <v>16</v>
      </c>
      <c r="Q15" s="47">
        <v>16</v>
      </c>
      <c r="R15" s="48"/>
      <c r="S15" s="47"/>
      <c r="T15" s="21"/>
      <c r="U15" s="70">
        <v>12</v>
      </c>
      <c r="V15" s="70">
        <v>12</v>
      </c>
      <c r="W15" s="71"/>
      <c r="X15" s="97" t="str">
        <f t="shared" si="0"/>
        <v>TX1019127-01-CT-1</v>
      </c>
      <c r="Y15" s="25"/>
    </row>
    <row r="16" spans="1:25">
      <c r="A16" s="49" t="s">
        <v>22</v>
      </c>
      <c r="B16" s="50">
        <v>12</v>
      </c>
      <c r="C16" s="50">
        <v>17</v>
      </c>
      <c r="D16" s="50">
        <v>5</v>
      </c>
      <c r="E16" s="51"/>
      <c r="F16" s="50"/>
      <c r="G16" s="21"/>
      <c r="H16" s="33">
        <v>39</v>
      </c>
      <c r="I16" s="33">
        <v>27</v>
      </c>
      <c r="J16" s="34"/>
      <c r="K16" s="91" t="str">
        <f t="shared" si="1"/>
        <v>TX1019127-01-CTH-1</v>
      </c>
      <c r="L16" s="25"/>
      <c r="M16" s="87"/>
      <c r="N16" s="49" t="s">
        <v>22</v>
      </c>
      <c r="O16" s="50">
        <v>12</v>
      </c>
      <c r="P16" s="50">
        <v>17</v>
      </c>
      <c r="Q16" s="50">
        <v>5</v>
      </c>
      <c r="R16" s="51"/>
      <c r="S16" s="50"/>
      <c r="T16" s="21"/>
      <c r="U16" s="72">
        <v>19</v>
      </c>
      <c r="V16" s="72">
        <v>7</v>
      </c>
      <c r="W16" s="73"/>
      <c r="X16" s="97" t="str">
        <f t="shared" si="0"/>
        <v>TX1019127-01-CTH-1</v>
      </c>
      <c r="Y16" s="25"/>
    </row>
    <row r="17" spans="1:25">
      <c r="A17" s="43" t="s">
        <v>23</v>
      </c>
      <c r="B17" s="44">
        <v>10</v>
      </c>
      <c r="C17" s="44">
        <v>30</v>
      </c>
      <c r="D17" s="44">
        <v>20</v>
      </c>
      <c r="E17" s="45">
        <v>32</v>
      </c>
      <c r="F17" s="44"/>
      <c r="G17" s="21"/>
      <c r="H17" s="22">
        <v>0</v>
      </c>
      <c r="I17" s="22">
        <v>-10</v>
      </c>
      <c r="J17" s="23">
        <v>47</v>
      </c>
      <c r="K17" s="91" t="str">
        <f t="shared" si="1"/>
        <v>TX1020419-01-C_03</v>
      </c>
      <c r="L17" s="25"/>
      <c r="M17" s="87"/>
      <c r="N17" s="43" t="s">
        <v>23</v>
      </c>
      <c r="O17" s="44">
        <v>10</v>
      </c>
      <c r="P17" s="44">
        <v>30</v>
      </c>
      <c r="Q17" s="44">
        <v>20</v>
      </c>
      <c r="R17" s="45">
        <v>41</v>
      </c>
      <c r="S17" s="44"/>
      <c r="T17" s="21"/>
      <c r="U17" s="69">
        <v>2926</v>
      </c>
      <c r="V17" s="69">
        <v>2916</v>
      </c>
      <c r="W17" s="16">
        <v>2928</v>
      </c>
      <c r="X17" s="97" t="str">
        <f t="shared" si="0"/>
        <v>TX1020419-01-C_03</v>
      </c>
      <c r="Y17" s="25"/>
    </row>
    <row r="18" spans="1:25">
      <c r="A18" s="46" t="s">
        <v>24</v>
      </c>
      <c r="B18" s="47">
        <v>0</v>
      </c>
      <c r="C18" s="47">
        <v>15</v>
      </c>
      <c r="D18" s="47">
        <v>15</v>
      </c>
      <c r="E18" s="48"/>
      <c r="F18" s="47"/>
      <c r="G18" s="21"/>
      <c r="H18" s="24">
        <v>21</v>
      </c>
      <c r="I18" s="24">
        <v>21</v>
      </c>
      <c r="J18" s="29"/>
      <c r="K18" s="91" t="str">
        <f t="shared" si="1"/>
        <v>TX1020419-01-CB-3</v>
      </c>
      <c r="L18" s="25"/>
      <c r="M18" s="87"/>
      <c r="N18" s="46" t="s">
        <v>24</v>
      </c>
      <c r="O18" s="47">
        <v>0</v>
      </c>
      <c r="P18" s="47">
        <v>15</v>
      </c>
      <c r="Q18" s="47">
        <v>15</v>
      </c>
      <c r="R18" s="48"/>
      <c r="S18" s="47"/>
      <c r="T18" s="21"/>
      <c r="U18" s="70">
        <v>3</v>
      </c>
      <c r="V18" s="70">
        <v>3</v>
      </c>
      <c r="W18" s="71"/>
      <c r="X18" s="97" t="str">
        <f t="shared" si="0"/>
        <v>TX1020419-01-CB-3</v>
      </c>
      <c r="Y18" s="25"/>
    </row>
    <row r="19" spans="1:25">
      <c r="A19" s="46" t="s">
        <v>25</v>
      </c>
      <c r="B19" s="47">
        <v>12</v>
      </c>
      <c r="C19" s="47">
        <v>3</v>
      </c>
      <c r="D19" s="47">
        <v>-9</v>
      </c>
      <c r="E19" s="48"/>
      <c r="F19" s="47"/>
      <c r="G19" s="21"/>
      <c r="H19" s="24">
        <v>12</v>
      </c>
      <c r="I19" s="24">
        <v>0</v>
      </c>
      <c r="J19" s="29"/>
      <c r="K19" s="91" t="str">
        <f t="shared" si="1"/>
        <v>NO REPORTA VERSION ACTUAL</v>
      </c>
      <c r="L19" s="25"/>
      <c r="M19" s="87"/>
      <c r="N19" s="49" t="s">
        <v>26</v>
      </c>
      <c r="O19" s="50">
        <v>0</v>
      </c>
      <c r="P19" s="50">
        <v>6</v>
      </c>
      <c r="Q19" s="50">
        <v>6</v>
      </c>
      <c r="R19" s="51"/>
      <c r="S19" s="50"/>
      <c r="T19" s="21"/>
      <c r="U19" s="72">
        <v>9</v>
      </c>
      <c r="V19" s="72">
        <v>9</v>
      </c>
      <c r="W19" s="73"/>
      <c r="X19" s="97" t="str">
        <f t="shared" si="0"/>
        <v>TX1020419-01-CTH-3</v>
      </c>
      <c r="Y19" s="25"/>
    </row>
    <row r="20" spans="1:25">
      <c r="A20" s="49" t="s">
        <v>26</v>
      </c>
      <c r="B20" s="50">
        <v>0</v>
      </c>
      <c r="C20" s="50">
        <v>6</v>
      </c>
      <c r="D20" s="50">
        <v>6</v>
      </c>
      <c r="E20" s="51"/>
      <c r="F20" s="50"/>
      <c r="G20" s="21"/>
      <c r="H20" s="33">
        <v>36</v>
      </c>
      <c r="I20" s="33">
        <v>36</v>
      </c>
      <c r="J20" s="34"/>
      <c r="K20" s="91" t="str">
        <f t="shared" si="1"/>
        <v>TX1020419-01-CTH-3</v>
      </c>
      <c r="L20" s="25"/>
      <c r="M20" s="87"/>
      <c r="N20" s="65" t="s">
        <v>27</v>
      </c>
      <c r="O20" s="66">
        <v>30</v>
      </c>
      <c r="P20" s="66">
        <v>0</v>
      </c>
      <c r="Q20" s="66">
        <v>-30</v>
      </c>
      <c r="R20" s="67">
        <v>-30</v>
      </c>
      <c r="S20" s="66"/>
      <c r="T20" s="21"/>
      <c r="U20" s="74">
        <v>30</v>
      </c>
      <c r="V20" s="74">
        <v>0</v>
      </c>
      <c r="W20" s="75">
        <v>0</v>
      </c>
      <c r="X20" s="97" t="str">
        <f t="shared" si="0"/>
        <v>TX1020796-01-BT-4</v>
      </c>
      <c r="Y20" s="25"/>
    </row>
    <row r="21" spans="1:25">
      <c r="A21" s="43" t="s">
        <v>27</v>
      </c>
      <c r="B21" s="44">
        <v>30</v>
      </c>
      <c r="C21" s="44">
        <v>0</v>
      </c>
      <c r="D21" s="44">
        <v>-30</v>
      </c>
      <c r="E21" s="45">
        <v>-30</v>
      </c>
      <c r="F21" s="44"/>
      <c r="G21" s="21"/>
      <c r="H21" s="22">
        <v>30</v>
      </c>
      <c r="I21" s="22">
        <v>0</v>
      </c>
      <c r="J21" s="23">
        <v>30</v>
      </c>
      <c r="K21" s="91" t="str">
        <f t="shared" si="1"/>
        <v>TX1020796-01-BT-4</v>
      </c>
      <c r="L21" s="25"/>
      <c r="M21" s="87"/>
      <c r="N21" s="18" t="s">
        <v>29</v>
      </c>
      <c r="O21" s="19">
        <v>46</v>
      </c>
      <c r="P21" s="19">
        <v>32</v>
      </c>
      <c r="Q21" s="19">
        <v>-14</v>
      </c>
      <c r="R21" s="20">
        <v>-18</v>
      </c>
      <c r="S21" s="19"/>
      <c r="T21" s="21"/>
      <c r="U21" s="69">
        <v>16</v>
      </c>
      <c r="V21" s="69">
        <v>-30</v>
      </c>
      <c r="W21" s="16">
        <v>-19</v>
      </c>
      <c r="X21" s="97" t="str">
        <f t="shared" si="0"/>
        <v>TX1021748-00-B_01</v>
      </c>
      <c r="Y21" s="25"/>
    </row>
    <row r="22" spans="1:25">
      <c r="A22" s="49" t="s">
        <v>28</v>
      </c>
      <c r="B22" s="50">
        <v>0</v>
      </c>
      <c r="C22" s="50">
        <v>0</v>
      </c>
      <c r="D22" s="50">
        <v>0</v>
      </c>
      <c r="E22" s="51"/>
      <c r="F22" s="50"/>
      <c r="G22" s="21"/>
      <c r="H22" s="33">
        <v>30</v>
      </c>
      <c r="I22" s="33">
        <v>30</v>
      </c>
      <c r="J22" s="34"/>
      <c r="K22" s="91" t="str">
        <f t="shared" si="1"/>
        <v>NO REPORTA VERSION ACTUAL</v>
      </c>
      <c r="L22" s="25"/>
      <c r="M22" s="87"/>
      <c r="N22" s="30" t="s">
        <v>30</v>
      </c>
      <c r="O22" s="31">
        <v>4</v>
      </c>
      <c r="P22" s="31">
        <v>0</v>
      </c>
      <c r="Q22" s="31">
        <v>-4</v>
      </c>
      <c r="R22" s="32"/>
      <c r="S22" s="31"/>
      <c r="T22" s="21"/>
      <c r="U22" s="72">
        <v>15</v>
      </c>
      <c r="V22" s="72">
        <v>11</v>
      </c>
      <c r="W22" s="73"/>
      <c r="X22" s="97" t="str">
        <f t="shared" si="0"/>
        <v>TX1021748-00-BTH-1</v>
      </c>
      <c r="Y22" s="25"/>
    </row>
    <row r="23" spans="1:25">
      <c r="A23" s="18" t="s">
        <v>29</v>
      </c>
      <c r="B23" s="19">
        <v>46</v>
      </c>
      <c r="C23" s="19">
        <v>32</v>
      </c>
      <c r="D23" s="19">
        <v>-14</v>
      </c>
      <c r="E23" s="20">
        <v>-18</v>
      </c>
      <c r="F23" s="19"/>
      <c r="G23" s="52"/>
      <c r="H23" s="22">
        <v>0</v>
      </c>
      <c r="I23" s="22">
        <v>-46</v>
      </c>
      <c r="J23" s="23">
        <v>13</v>
      </c>
      <c r="K23" s="91" t="str">
        <f t="shared" si="1"/>
        <v>TX1021748-00-B_01</v>
      </c>
      <c r="L23" s="25"/>
      <c r="M23" s="87"/>
      <c r="N23" s="18" t="s">
        <v>31</v>
      </c>
      <c r="O23" s="19">
        <v>19</v>
      </c>
      <c r="P23" s="19">
        <v>31</v>
      </c>
      <c r="Q23" s="19">
        <v>12</v>
      </c>
      <c r="R23" s="20">
        <v>-4</v>
      </c>
      <c r="S23" s="19"/>
      <c r="T23" s="21"/>
      <c r="U23" s="69">
        <v>227</v>
      </c>
      <c r="V23" s="69">
        <v>208</v>
      </c>
      <c r="W23" s="16">
        <v>271</v>
      </c>
      <c r="X23" s="97" t="str">
        <f t="shared" si="0"/>
        <v>TX1021748-00-C_02</v>
      </c>
      <c r="Y23" s="25"/>
    </row>
    <row r="24" spans="1:25">
      <c r="A24" s="30" t="s">
        <v>30</v>
      </c>
      <c r="B24" s="31">
        <v>4</v>
      </c>
      <c r="C24" s="31">
        <v>0</v>
      </c>
      <c r="D24" s="31">
        <v>-4</v>
      </c>
      <c r="E24" s="32"/>
      <c r="F24" s="31"/>
      <c r="G24" s="21"/>
      <c r="H24" s="33">
        <v>63</v>
      </c>
      <c r="I24" s="33">
        <v>59</v>
      </c>
      <c r="J24" s="34"/>
      <c r="K24" s="91" t="str">
        <f t="shared" si="1"/>
        <v>TX1021748-00-BTH-1</v>
      </c>
      <c r="L24" s="25"/>
      <c r="M24" s="87"/>
      <c r="N24" s="26" t="s">
        <v>32</v>
      </c>
      <c r="O24" s="27">
        <v>0</v>
      </c>
      <c r="P24" s="27">
        <v>0</v>
      </c>
      <c r="Q24" s="27">
        <v>0</v>
      </c>
      <c r="R24" s="28"/>
      <c r="S24" s="27"/>
      <c r="T24" s="21"/>
      <c r="U24" s="70">
        <v>36</v>
      </c>
      <c r="V24" s="70">
        <v>36</v>
      </c>
      <c r="W24" s="71"/>
      <c r="X24" s="97" t="str">
        <f t="shared" si="0"/>
        <v>TX1021748-00-CT-2</v>
      </c>
      <c r="Y24" s="25"/>
    </row>
    <row r="25" spans="1:25">
      <c r="A25" s="18" t="s">
        <v>31</v>
      </c>
      <c r="B25" s="19">
        <v>19</v>
      </c>
      <c r="C25" s="19">
        <v>31</v>
      </c>
      <c r="D25" s="19">
        <v>12</v>
      </c>
      <c r="E25" s="20">
        <v>-4</v>
      </c>
      <c r="F25" s="19"/>
      <c r="G25" s="52"/>
      <c r="H25" s="22">
        <v>0</v>
      </c>
      <c r="I25" s="22">
        <v>-19</v>
      </c>
      <c r="J25" s="23">
        <v>26</v>
      </c>
      <c r="K25" s="91" t="str">
        <f t="shared" si="1"/>
        <v>TX1021748-00-C_02</v>
      </c>
      <c r="L25" s="25"/>
      <c r="M25" s="87"/>
      <c r="N25" s="30" t="s">
        <v>33</v>
      </c>
      <c r="O25" s="31">
        <v>16</v>
      </c>
      <c r="P25" s="31">
        <v>0</v>
      </c>
      <c r="Q25" s="31">
        <v>-16</v>
      </c>
      <c r="R25" s="32"/>
      <c r="S25" s="31"/>
      <c r="T25" s="21"/>
      <c r="U25" s="72">
        <v>43</v>
      </c>
      <c r="V25" s="72">
        <v>27</v>
      </c>
      <c r="W25" s="73"/>
      <c r="X25" s="97" t="str">
        <f t="shared" si="0"/>
        <v>TX1021748-00-CTH-2</v>
      </c>
      <c r="Y25" s="25"/>
    </row>
    <row r="26" spans="1:25">
      <c r="A26" s="26" t="s">
        <v>32</v>
      </c>
      <c r="B26" s="27">
        <v>0</v>
      </c>
      <c r="C26" s="27">
        <v>0</v>
      </c>
      <c r="D26" s="27">
        <v>0</v>
      </c>
      <c r="E26" s="28"/>
      <c r="F26" s="27"/>
      <c r="G26" s="53"/>
      <c r="H26" s="24">
        <v>1</v>
      </c>
      <c r="I26" s="24">
        <v>1</v>
      </c>
      <c r="J26" s="29"/>
      <c r="K26" s="91" t="str">
        <f t="shared" si="1"/>
        <v>TX1021748-00-CT-2</v>
      </c>
      <c r="L26" s="25"/>
      <c r="M26" s="87"/>
      <c r="N26" s="18" t="s">
        <v>34</v>
      </c>
      <c r="O26" s="19">
        <v>56</v>
      </c>
      <c r="P26" s="19">
        <v>87</v>
      </c>
      <c r="Q26" s="19">
        <v>31</v>
      </c>
      <c r="R26" s="20">
        <v>-22</v>
      </c>
      <c r="S26" s="19"/>
      <c r="T26" s="21"/>
      <c r="U26" s="69">
        <v>1737</v>
      </c>
      <c r="V26" s="69">
        <v>1681</v>
      </c>
      <c r="W26" s="16">
        <v>1644</v>
      </c>
      <c r="X26" s="97" t="str">
        <f t="shared" si="0"/>
        <v>TX1021749-00-B_03</v>
      </c>
      <c r="Y26" s="25"/>
    </row>
    <row r="27" spans="1:25">
      <c r="A27" s="30" t="s">
        <v>33</v>
      </c>
      <c r="B27" s="31">
        <v>16</v>
      </c>
      <c r="C27" s="31">
        <v>0</v>
      </c>
      <c r="D27" s="31">
        <v>-16</v>
      </c>
      <c r="E27" s="32"/>
      <c r="F27" s="31"/>
      <c r="G27" s="52"/>
      <c r="H27" s="33">
        <v>60</v>
      </c>
      <c r="I27" s="33">
        <v>44</v>
      </c>
      <c r="J27" s="34"/>
      <c r="K27" s="91" t="str">
        <f t="shared" si="1"/>
        <v>TX1021748-00-CTH-2</v>
      </c>
      <c r="L27" s="25"/>
      <c r="M27" s="87"/>
      <c r="N27" s="26" t="s">
        <v>35</v>
      </c>
      <c r="O27" s="27">
        <v>9</v>
      </c>
      <c r="P27" s="27">
        <v>36</v>
      </c>
      <c r="Q27" s="27">
        <v>27</v>
      </c>
      <c r="R27" s="28"/>
      <c r="S27" s="27"/>
      <c r="T27" s="21"/>
      <c r="U27" s="70">
        <v>33</v>
      </c>
      <c r="V27" s="70">
        <v>24</v>
      </c>
      <c r="W27" s="71"/>
      <c r="X27" s="97" t="str">
        <f t="shared" si="0"/>
        <v>TX1021749-00-BT-3</v>
      </c>
      <c r="Y27" s="25"/>
    </row>
    <row r="28" spans="1:25">
      <c r="A28" s="18" t="s">
        <v>34</v>
      </c>
      <c r="B28" s="19">
        <v>56</v>
      </c>
      <c r="C28" s="19">
        <v>87</v>
      </c>
      <c r="D28" s="19">
        <v>31</v>
      </c>
      <c r="E28" s="20">
        <v>-22</v>
      </c>
      <c r="F28" s="19"/>
      <c r="G28" s="21"/>
      <c r="H28" s="22">
        <v>0</v>
      </c>
      <c r="I28" s="22">
        <v>-56</v>
      </c>
      <c r="J28" s="23">
        <v>19</v>
      </c>
      <c r="K28" s="91" t="str">
        <f t="shared" si="1"/>
        <v>TX1021749-00-B_03</v>
      </c>
      <c r="L28" s="25"/>
      <c r="M28" s="87"/>
      <c r="N28" s="30" t="s">
        <v>36</v>
      </c>
      <c r="O28" s="31">
        <v>86</v>
      </c>
      <c r="P28" s="31">
        <v>6</v>
      </c>
      <c r="Q28" s="31">
        <v>-80</v>
      </c>
      <c r="R28" s="32"/>
      <c r="S28" s="31"/>
      <c r="T28" s="21"/>
      <c r="U28" s="72">
        <v>25</v>
      </c>
      <c r="V28" s="72">
        <v>-61</v>
      </c>
      <c r="W28" s="73"/>
      <c r="X28" s="97" t="str">
        <f t="shared" si="0"/>
        <v>TX1021749-00-BTH-3</v>
      </c>
      <c r="Y28" s="25"/>
    </row>
    <row r="29" spans="1:25">
      <c r="A29" s="26" t="s">
        <v>35</v>
      </c>
      <c r="B29" s="27">
        <v>9</v>
      </c>
      <c r="C29" s="27">
        <v>36</v>
      </c>
      <c r="D29" s="27">
        <v>27</v>
      </c>
      <c r="E29" s="28"/>
      <c r="F29" s="27"/>
      <c r="G29" s="54"/>
      <c r="H29" s="24">
        <v>36</v>
      </c>
      <c r="I29" s="24">
        <v>27</v>
      </c>
      <c r="J29" s="29"/>
      <c r="K29" s="91" t="str">
        <f t="shared" si="1"/>
        <v>TX1021749-00-BT-3</v>
      </c>
      <c r="L29" s="25"/>
      <c r="M29" s="87"/>
      <c r="N29" s="35" t="s">
        <v>37</v>
      </c>
      <c r="O29" s="36">
        <v>63</v>
      </c>
      <c r="P29" s="36">
        <v>210</v>
      </c>
      <c r="Q29" s="36">
        <v>147</v>
      </c>
      <c r="R29" s="37">
        <v>166</v>
      </c>
      <c r="S29" s="36"/>
      <c r="T29" s="21"/>
      <c r="U29" s="69">
        <v>56</v>
      </c>
      <c r="V29" s="69">
        <v>-7</v>
      </c>
      <c r="W29" s="16">
        <v>38</v>
      </c>
      <c r="X29" s="97" t="str">
        <f t="shared" si="0"/>
        <v>TX1022005-01-G_01</v>
      </c>
      <c r="Y29" s="25"/>
    </row>
    <row r="30" spans="1:25">
      <c r="A30" s="30" t="s">
        <v>36</v>
      </c>
      <c r="B30" s="31">
        <v>86</v>
      </c>
      <c r="C30" s="31">
        <v>6</v>
      </c>
      <c r="D30" s="31">
        <v>-80</v>
      </c>
      <c r="E30" s="32"/>
      <c r="F30" s="31"/>
      <c r="G30" s="42"/>
      <c r="H30" s="33">
        <v>134</v>
      </c>
      <c r="I30" s="33">
        <v>48</v>
      </c>
      <c r="J30" s="34"/>
      <c r="K30" s="91" t="str">
        <f t="shared" si="1"/>
        <v>TX1021749-00-BTH-3</v>
      </c>
      <c r="L30" s="25"/>
      <c r="M30" s="87"/>
      <c r="N30" s="55" t="s">
        <v>38</v>
      </c>
      <c r="O30" s="56">
        <v>5</v>
      </c>
      <c r="P30" s="56">
        <v>17</v>
      </c>
      <c r="Q30" s="56">
        <v>12</v>
      </c>
      <c r="R30" s="57"/>
      <c r="S30" s="56"/>
      <c r="T30" s="21"/>
      <c r="U30" s="70">
        <v>15</v>
      </c>
      <c r="V30" s="70">
        <v>10</v>
      </c>
      <c r="W30" s="71"/>
      <c r="X30" s="97" t="str">
        <f t="shared" si="0"/>
        <v>TX1022005-01-GB-1</v>
      </c>
      <c r="Y30" s="25"/>
    </row>
    <row r="31" spans="1:25">
      <c r="A31" s="35" t="s">
        <v>37</v>
      </c>
      <c r="B31" s="36">
        <v>63</v>
      </c>
      <c r="C31" s="36">
        <v>210</v>
      </c>
      <c r="D31" s="36">
        <v>147</v>
      </c>
      <c r="E31" s="37">
        <v>166</v>
      </c>
      <c r="F31" s="36"/>
      <c r="G31" s="21"/>
      <c r="H31" s="22">
        <v>0</v>
      </c>
      <c r="I31" s="22">
        <v>-63</v>
      </c>
      <c r="J31" s="23">
        <v>476</v>
      </c>
      <c r="K31" s="91" t="str">
        <f t="shared" si="1"/>
        <v>TX1022005-01-G_01</v>
      </c>
      <c r="L31" s="25"/>
      <c r="M31" s="87"/>
      <c r="N31" s="55" t="s">
        <v>39</v>
      </c>
      <c r="O31" s="56">
        <v>103</v>
      </c>
      <c r="P31" s="56">
        <v>6</v>
      </c>
      <c r="Q31" s="56">
        <v>-97</v>
      </c>
      <c r="R31" s="57"/>
      <c r="S31" s="56"/>
      <c r="T31" s="21"/>
      <c r="U31" s="70">
        <v>117</v>
      </c>
      <c r="V31" s="70">
        <v>14</v>
      </c>
      <c r="W31" s="71"/>
      <c r="X31" s="97" t="str">
        <f t="shared" si="0"/>
        <v>TX1022005-01-GT-1</v>
      </c>
      <c r="Y31" s="25"/>
    </row>
    <row r="32" spans="1:25">
      <c r="A32" s="55" t="s">
        <v>38</v>
      </c>
      <c r="B32" s="56">
        <v>5</v>
      </c>
      <c r="C32" s="56">
        <v>17</v>
      </c>
      <c r="D32" s="56">
        <v>12</v>
      </c>
      <c r="E32" s="57"/>
      <c r="F32" s="56"/>
      <c r="G32" s="52"/>
      <c r="H32" s="24">
        <v>117</v>
      </c>
      <c r="I32" s="24">
        <v>112</v>
      </c>
      <c r="J32" s="29"/>
      <c r="K32" s="91" t="str">
        <f t="shared" si="1"/>
        <v>TX1022005-01-GB-1</v>
      </c>
      <c r="L32" s="25"/>
      <c r="M32" s="87"/>
      <c r="N32" s="39" t="s">
        <v>40</v>
      </c>
      <c r="O32" s="40">
        <v>20</v>
      </c>
      <c r="P32" s="40">
        <v>124</v>
      </c>
      <c r="Q32" s="40">
        <v>104</v>
      </c>
      <c r="R32" s="41"/>
      <c r="S32" s="40"/>
      <c r="T32" s="21"/>
      <c r="U32" s="72">
        <v>41</v>
      </c>
      <c r="V32" s="72">
        <v>21</v>
      </c>
      <c r="W32" s="73"/>
      <c r="X32" s="97" t="str">
        <f t="shared" si="0"/>
        <v>TX1022005-01-GTH-1</v>
      </c>
      <c r="Y32" s="25"/>
    </row>
    <row r="33" spans="1:25">
      <c r="A33" s="55" t="s">
        <v>39</v>
      </c>
      <c r="B33" s="56">
        <v>103</v>
      </c>
      <c r="C33" s="56">
        <v>6</v>
      </c>
      <c r="D33" s="56">
        <v>-97</v>
      </c>
      <c r="E33" s="57"/>
      <c r="F33" s="56"/>
      <c r="G33" s="52"/>
      <c r="H33" s="24">
        <v>246</v>
      </c>
      <c r="I33" s="24">
        <v>143</v>
      </c>
      <c r="J33" s="29"/>
      <c r="K33" s="91" t="str">
        <f t="shared" si="1"/>
        <v>TX1022005-01-GT-1</v>
      </c>
      <c r="L33" s="25"/>
      <c r="M33" s="87"/>
      <c r="N33" s="43" t="s">
        <v>41</v>
      </c>
      <c r="O33" s="44">
        <v>228</v>
      </c>
      <c r="P33" s="44">
        <v>291</v>
      </c>
      <c r="Q33" s="44">
        <v>63</v>
      </c>
      <c r="R33" s="45">
        <v>165</v>
      </c>
      <c r="S33" s="44"/>
      <c r="T33" s="52"/>
      <c r="U33" s="69">
        <v>185</v>
      </c>
      <c r="V33" s="69">
        <v>-43</v>
      </c>
      <c r="W33" s="16">
        <v>139</v>
      </c>
      <c r="X33" s="97" t="str">
        <f t="shared" si="0"/>
        <v>TX1023049-01-D_02</v>
      </c>
      <c r="Y33" s="25"/>
    </row>
    <row r="34" spans="1:25">
      <c r="A34" s="39" t="s">
        <v>40</v>
      </c>
      <c r="B34" s="40">
        <v>20</v>
      </c>
      <c r="C34" s="40">
        <v>124</v>
      </c>
      <c r="D34" s="40">
        <v>104</v>
      </c>
      <c r="E34" s="41"/>
      <c r="F34" s="40"/>
      <c r="G34" s="21"/>
      <c r="H34" s="33">
        <v>304</v>
      </c>
      <c r="I34" s="33">
        <v>284</v>
      </c>
      <c r="J34" s="34"/>
      <c r="K34" s="91" t="str">
        <f t="shared" si="1"/>
        <v>TX1022005-01-GTH-1</v>
      </c>
      <c r="L34" s="25"/>
      <c r="M34" s="87"/>
      <c r="N34" s="46" t="s">
        <v>42</v>
      </c>
      <c r="O34" s="47">
        <v>116</v>
      </c>
      <c r="P34" s="47">
        <v>25</v>
      </c>
      <c r="Q34" s="47">
        <v>-91</v>
      </c>
      <c r="R34" s="48"/>
      <c r="S34" s="47"/>
      <c r="T34" s="21"/>
      <c r="U34" s="70">
        <v>219</v>
      </c>
      <c r="V34" s="70">
        <v>103</v>
      </c>
      <c r="W34" s="71"/>
      <c r="X34" s="97" t="str">
        <f t="shared" si="0"/>
        <v>TX1023049-01-DT-2</v>
      </c>
      <c r="Y34" s="25"/>
    </row>
    <row r="35" spans="1:25">
      <c r="A35" s="43" t="s">
        <v>41</v>
      </c>
      <c r="B35" s="44">
        <v>228</v>
      </c>
      <c r="C35" s="44">
        <v>291</v>
      </c>
      <c r="D35" s="44">
        <v>63</v>
      </c>
      <c r="E35" s="45">
        <v>165</v>
      </c>
      <c r="F35" s="44"/>
      <c r="G35" s="21"/>
      <c r="H35" s="22">
        <v>0</v>
      </c>
      <c r="I35" s="22">
        <v>-228</v>
      </c>
      <c r="J35" s="23">
        <v>596</v>
      </c>
      <c r="K35" s="91" t="str">
        <f t="shared" si="1"/>
        <v>TX1023049-01-D_02</v>
      </c>
      <c r="L35" s="25"/>
      <c r="M35" s="87"/>
      <c r="N35" s="49" t="s">
        <v>43</v>
      </c>
      <c r="O35" s="50">
        <v>0</v>
      </c>
      <c r="P35" s="50">
        <v>193</v>
      </c>
      <c r="Q35" s="50">
        <v>193</v>
      </c>
      <c r="R35" s="51"/>
      <c r="S35" s="50"/>
      <c r="T35" s="52"/>
      <c r="U35" s="72">
        <v>79</v>
      </c>
      <c r="V35" s="72">
        <v>79</v>
      </c>
      <c r="W35" s="73"/>
      <c r="X35" s="97" t="str">
        <f t="shared" si="0"/>
        <v>TX1023049-01-DTH-2</v>
      </c>
      <c r="Y35" s="25"/>
    </row>
    <row r="36" spans="1:25">
      <c r="A36" s="46" t="s">
        <v>42</v>
      </c>
      <c r="B36" s="47">
        <v>116</v>
      </c>
      <c r="C36" s="47">
        <v>25</v>
      </c>
      <c r="D36" s="47">
        <v>-91</v>
      </c>
      <c r="E36" s="48"/>
      <c r="F36" s="47"/>
      <c r="G36" s="21"/>
      <c r="H36" s="24">
        <v>385</v>
      </c>
      <c r="I36" s="24">
        <v>269</v>
      </c>
      <c r="J36" s="29"/>
      <c r="K36" s="91" t="str">
        <f t="shared" si="1"/>
        <v>TX1023049-01-DT-2</v>
      </c>
      <c r="L36" s="25"/>
      <c r="M36" s="87"/>
      <c r="N36" s="59" t="s">
        <v>44</v>
      </c>
      <c r="O36" s="60">
        <v>170</v>
      </c>
      <c r="P36" s="60">
        <v>161</v>
      </c>
      <c r="Q36" s="60">
        <v>-9</v>
      </c>
      <c r="R36" s="61">
        <v>-2</v>
      </c>
      <c r="S36" s="60"/>
      <c r="T36" s="21"/>
      <c r="U36" s="74">
        <v>114</v>
      </c>
      <c r="V36" s="74">
        <v>-56</v>
      </c>
      <c r="W36" s="75">
        <v>-51</v>
      </c>
      <c r="X36" s="97" t="str">
        <f t="shared" si="0"/>
        <v>TX1023049-02-D_02</v>
      </c>
      <c r="Y36" s="25"/>
    </row>
    <row r="37" spans="1:25">
      <c r="A37" s="49" t="s">
        <v>43</v>
      </c>
      <c r="B37" s="50">
        <v>0</v>
      </c>
      <c r="C37" s="50">
        <v>193</v>
      </c>
      <c r="D37" s="50">
        <v>193</v>
      </c>
      <c r="E37" s="51"/>
      <c r="F37" s="50"/>
      <c r="G37" s="21"/>
      <c r="H37" s="33">
        <v>555</v>
      </c>
      <c r="I37" s="33">
        <v>555</v>
      </c>
      <c r="J37" s="34"/>
      <c r="K37" s="91" t="str">
        <f t="shared" si="1"/>
        <v>TX1023049-01-DTH-2</v>
      </c>
      <c r="L37" s="58"/>
      <c r="M37" s="88"/>
      <c r="N37" s="18" t="s">
        <v>180</v>
      </c>
      <c r="O37" s="19">
        <v>0</v>
      </c>
      <c r="P37" s="19">
        <v>0</v>
      </c>
      <c r="Q37" s="19">
        <v>0</v>
      </c>
      <c r="R37" s="20">
        <v>0</v>
      </c>
      <c r="S37" s="19"/>
      <c r="T37" s="38"/>
      <c r="U37" s="69">
        <v>1</v>
      </c>
      <c r="V37" s="69">
        <v>1</v>
      </c>
      <c r="W37" s="16">
        <v>1</v>
      </c>
      <c r="X37" s="97" t="str">
        <f t="shared" si="0"/>
        <v>NO REPORTA VERSION ANTERIOR</v>
      </c>
      <c r="Y37" s="58"/>
    </row>
    <row r="38" spans="1:25">
      <c r="A38" s="18" t="s">
        <v>44</v>
      </c>
      <c r="B38" s="19">
        <v>170</v>
      </c>
      <c r="C38" s="19">
        <v>161</v>
      </c>
      <c r="D38" s="19">
        <v>-9</v>
      </c>
      <c r="E38" s="20">
        <v>-2</v>
      </c>
      <c r="F38" s="19"/>
      <c r="G38" s="21"/>
      <c r="H38" s="22">
        <v>1</v>
      </c>
      <c r="I38" s="22">
        <v>-169</v>
      </c>
      <c r="J38" s="23">
        <v>230</v>
      </c>
      <c r="K38" s="91" t="str">
        <f t="shared" si="1"/>
        <v>TX1023049-02-D_02</v>
      </c>
      <c r="L38" s="58"/>
      <c r="M38" s="88"/>
      <c r="N38" s="26" t="s">
        <v>45</v>
      </c>
      <c r="O38" s="27">
        <v>170</v>
      </c>
      <c r="P38" s="27">
        <v>42</v>
      </c>
      <c r="Q38" s="27">
        <v>-128</v>
      </c>
      <c r="R38" s="28"/>
      <c r="S38" s="27"/>
      <c r="T38" s="76"/>
      <c r="U38" s="70">
        <v>150</v>
      </c>
      <c r="V38" s="70">
        <v>-20</v>
      </c>
      <c r="W38" s="71"/>
      <c r="X38" s="97" t="str">
        <f t="shared" si="0"/>
        <v>TX1023049-02-DT-2</v>
      </c>
      <c r="Y38" s="58"/>
    </row>
    <row r="39" spans="1:25">
      <c r="A39" s="26" t="s">
        <v>45</v>
      </c>
      <c r="B39" s="27">
        <v>170</v>
      </c>
      <c r="C39" s="27">
        <v>42</v>
      </c>
      <c r="D39" s="27">
        <v>-128</v>
      </c>
      <c r="E39" s="28"/>
      <c r="F39" s="27"/>
      <c r="G39" s="21"/>
      <c r="H39" s="24">
        <v>268</v>
      </c>
      <c r="I39" s="24">
        <v>98</v>
      </c>
      <c r="J39" s="29"/>
      <c r="K39" s="91" t="str">
        <f t="shared" si="1"/>
        <v>TX1023049-02-DT-2</v>
      </c>
      <c r="L39" s="58"/>
      <c r="M39" s="88"/>
      <c r="N39" s="30" t="s">
        <v>46</v>
      </c>
      <c r="O39" s="31">
        <v>0</v>
      </c>
      <c r="P39" s="31">
        <v>135</v>
      </c>
      <c r="Q39" s="31">
        <v>135</v>
      </c>
      <c r="R39" s="32"/>
      <c r="S39" s="31"/>
      <c r="T39" s="53"/>
      <c r="U39" s="72">
        <v>25</v>
      </c>
      <c r="V39" s="72">
        <v>25</v>
      </c>
      <c r="W39" s="73"/>
      <c r="X39" s="97" t="str">
        <f t="shared" si="0"/>
        <v>TX1023049-02-DTH-2</v>
      </c>
      <c r="Y39" s="58"/>
    </row>
    <row r="40" spans="1:25">
      <c r="A40" s="30" t="s">
        <v>46</v>
      </c>
      <c r="B40" s="31">
        <v>0</v>
      </c>
      <c r="C40" s="31">
        <v>135</v>
      </c>
      <c r="D40" s="31">
        <v>135</v>
      </c>
      <c r="E40" s="32"/>
      <c r="F40" s="31"/>
      <c r="G40" s="21"/>
      <c r="H40" s="33">
        <v>301</v>
      </c>
      <c r="I40" s="33">
        <v>301</v>
      </c>
      <c r="J40" s="34"/>
      <c r="K40" s="91" t="str">
        <f t="shared" si="1"/>
        <v>TX1023049-02-DTH-2</v>
      </c>
      <c r="L40" s="58"/>
      <c r="M40" s="88"/>
      <c r="N40" s="43" t="s">
        <v>48</v>
      </c>
      <c r="O40" s="44">
        <v>179</v>
      </c>
      <c r="P40" s="44">
        <v>269</v>
      </c>
      <c r="Q40" s="44">
        <v>90</v>
      </c>
      <c r="R40" s="45">
        <v>146</v>
      </c>
      <c r="S40" s="44"/>
      <c r="T40" s="38"/>
      <c r="U40" s="77">
        <v>15489</v>
      </c>
      <c r="V40" s="77">
        <v>15310</v>
      </c>
      <c r="W40" s="78">
        <v>15314</v>
      </c>
      <c r="X40" s="97" t="str">
        <f t="shared" si="0"/>
        <v>TX1026696-00-G_01</v>
      </c>
      <c r="Y40" s="58"/>
    </row>
    <row r="41" spans="1:25">
      <c r="A41" s="59" t="s">
        <v>47</v>
      </c>
      <c r="B41" s="60">
        <v>4</v>
      </c>
      <c r="C41" s="60">
        <v>0</v>
      </c>
      <c r="D41" s="60">
        <v>-4</v>
      </c>
      <c r="E41" s="61">
        <v>-4</v>
      </c>
      <c r="F41" s="60"/>
      <c r="G41" s="21"/>
      <c r="H41" s="62">
        <v>0</v>
      </c>
      <c r="I41" s="62">
        <v>-4</v>
      </c>
      <c r="J41" s="63">
        <v>-4</v>
      </c>
      <c r="K41" s="91" t="str">
        <f t="shared" si="1"/>
        <v>NO REPORTA VERSION ACTUAL</v>
      </c>
      <c r="L41" s="25"/>
      <c r="M41" s="87"/>
      <c r="N41" s="46" t="s">
        <v>49</v>
      </c>
      <c r="O41" s="47">
        <v>108</v>
      </c>
      <c r="P41" s="47">
        <v>196</v>
      </c>
      <c r="Q41" s="47">
        <v>88</v>
      </c>
      <c r="R41" s="48"/>
      <c r="S41" s="47"/>
      <c r="T41" s="2"/>
      <c r="U41" s="79">
        <v>110</v>
      </c>
      <c r="V41" s="79">
        <v>2</v>
      </c>
      <c r="W41" s="80"/>
      <c r="X41" s="97" t="str">
        <f t="shared" si="0"/>
        <v>TX1026696-00-GB-1</v>
      </c>
      <c r="Y41" s="25"/>
    </row>
    <row r="42" spans="1:25">
      <c r="A42" s="35" t="s">
        <v>48</v>
      </c>
      <c r="B42" s="36">
        <v>23</v>
      </c>
      <c r="C42" s="36">
        <v>269</v>
      </c>
      <c r="D42" s="36">
        <v>246</v>
      </c>
      <c r="E42" s="37">
        <v>302</v>
      </c>
      <c r="F42" s="36"/>
      <c r="G42" s="21"/>
      <c r="H42" s="22">
        <v>0</v>
      </c>
      <c r="I42" s="22">
        <v>-23</v>
      </c>
      <c r="J42" s="23">
        <v>570</v>
      </c>
      <c r="K42" s="91" t="str">
        <f t="shared" si="1"/>
        <v>TX1026696-00-G_01</v>
      </c>
      <c r="L42" s="25"/>
      <c r="M42" s="87"/>
      <c r="N42" s="46" t="s">
        <v>50</v>
      </c>
      <c r="O42" s="47">
        <v>192</v>
      </c>
      <c r="P42" s="47">
        <v>109</v>
      </c>
      <c r="Q42" s="47">
        <v>-83</v>
      </c>
      <c r="R42" s="48"/>
      <c r="S42" s="47"/>
      <c r="T42" s="2"/>
      <c r="U42" s="79">
        <v>187</v>
      </c>
      <c r="V42" s="79">
        <v>-5</v>
      </c>
      <c r="W42" s="80"/>
      <c r="X42" s="97" t="str">
        <f t="shared" si="0"/>
        <v>TX1026696-00-GT-1</v>
      </c>
      <c r="Y42" s="25"/>
    </row>
    <row r="43" spans="1:25">
      <c r="A43" s="55" t="s">
        <v>49</v>
      </c>
      <c r="B43" s="56">
        <v>108</v>
      </c>
      <c r="C43" s="56">
        <v>196</v>
      </c>
      <c r="D43" s="56">
        <v>88</v>
      </c>
      <c r="E43" s="57"/>
      <c r="F43" s="56"/>
      <c r="G43" s="21"/>
      <c r="H43" s="24">
        <v>239</v>
      </c>
      <c r="I43" s="24">
        <v>131</v>
      </c>
      <c r="J43" s="29"/>
      <c r="K43" s="91" t="str">
        <f t="shared" si="1"/>
        <v>TX1026696-00-GB-1</v>
      </c>
      <c r="L43" s="25"/>
      <c r="M43" s="87"/>
      <c r="N43" s="49" t="s">
        <v>51</v>
      </c>
      <c r="O43" s="50">
        <v>126</v>
      </c>
      <c r="P43" s="50">
        <v>177</v>
      </c>
      <c r="Q43" s="50">
        <v>51</v>
      </c>
      <c r="R43" s="51"/>
      <c r="S43" s="50"/>
      <c r="T43" s="42"/>
      <c r="U43" s="81">
        <v>133</v>
      </c>
      <c r="V43" s="81">
        <v>7</v>
      </c>
      <c r="W43" s="82"/>
      <c r="X43" s="97" t="str">
        <f t="shared" si="0"/>
        <v>TX1026696-00-GTH-1</v>
      </c>
      <c r="Y43" s="25"/>
    </row>
    <row r="44" spans="1:25">
      <c r="A44" s="55" t="s">
        <v>50</v>
      </c>
      <c r="B44" s="56">
        <v>192</v>
      </c>
      <c r="C44" s="56">
        <v>109</v>
      </c>
      <c r="D44" s="56">
        <v>-83</v>
      </c>
      <c r="E44" s="57"/>
      <c r="F44" s="56"/>
      <c r="G44" s="21"/>
      <c r="H44" s="24">
        <v>352</v>
      </c>
      <c r="I44" s="24">
        <v>160</v>
      </c>
      <c r="J44" s="29"/>
      <c r="K44" s="91" t="str">
        <f t="shared" si="1"/>
        <v>TX1026696-00-GT-1</v>
      </c>
      <c r="L44" s="25"/>
      <c r="M44" s="87"/>
      <c r="N44" s="43" t="s">
        <v>53</v>
      </c>
      <c r="O44" s="44">
        <v>7</v>
      </c>
      <c r="P44" s="44">
        <v>49</v>
      </c>
      <c r="Q44" s="44">
        <v>42</v>
      </c>
      <c r="R44" s="45">
        <v>43</v>
      </c>
      <c r="S44" s="44"/>
      <c r="T44" s="38"/>
      <c r="U44" s="69">
        <v>820</v>
      </c>
      <c r="V44" s="69">
        <v>813</v>
      </c>
      <c r="W44" s="16">
        <v>812</v>
      </c>
      <c r="X44" s="97" t="str">
        <f t="shared" si="0"/>
        <v>TX1026865-00-D_02</v>
      </c>
      <c r="Y44" s="25"/>
    </row>
    <row r="45" spans="1:25">
      <c r="A45" s="39" t="s">
        <v>51</v>
      </c>
      <c r="B45" s="40">
        <v>126</v>
      </c>
      <c r="C45" s="40">
        <v>177</v>
      </c>
      <c r="D45" s="40">
        <v>51</v>
      </c>
      <c r="E45" s="41"/>
      <c r="F45" s="40"/>
      <c r="G45" s="21"/>
      <c r="H45" s="33">
        <v>428</v>
      </c>
      <c r="I45" s="33">
        <v>302</v>
      </c>
      <c r="J45" s="34"/>
      <c r="K45" s="91" t="str">
        <f t="shared" si="1"/>
        <v>TX1026696-00-GTH-1</v>
      </c>
      <c r="L45" s="25"/>
      <c r="M45" s="87"/>
      <c r="N45" s="49" t="s">
        <v>56</v>
      </c>
      <c r="O45" s="50">
        <v>2</v>
      </c>
      <c r="P45" s="50">
        <v>3</v>
      </c>
      <c r="Q45" s="50">
        <v>1</v>
      </c>
      <c r="R45" s="51"/>
      <c r="S45" s="50"/>
      <c r="T45" s="42"/>
      <c r="U45" s="72">
        <v>1</v>
      </c>
      <c r="V45" s="72">
        <v>-1</v>
      </c>
      <c r="W45" s="73"/>
      <c r="X45" s="97" t="str">
        <f t="shared" si="0"/>
        <v>TX1026865-00-DTH-2</v>
      </c>
      <c r="Y45" s="25"/>
    </row>
    <row r="46" spans="1:25">
      <c r="A46" s="59" t="s">
        <v>52</v>
      </c>
      <c r="B46" s="60">
        <v>1</v>
      </c>
      <c r="C46" s="60">
        <v>0</v>
      </c>
      <c r="D46" s="60">
        <v>-1</v>
      </c>
      <c r="E46" s="61">
        <v>-1</v>
      </c>
      <c r="F46" s="60"/>
      <c r="G46" s="21"/>
      <c r="H46" s="62">
        <v>0</v>
      </c>
      <c r="I46" s="62">
        <v>-1</v>
      </c>
      <c r="J46" s="63">
        <v>-1</v>
      </c>
      <c r="K46" s="91" t="str">
        <f t="shared" si="1"/>
        <v>NO REPORTA VERSION ACTUAL</v>
      </c>
      <c r="L46" s="25"/>
      <c r="M46" s="87"/>
      <c r="N46" s="35" t="s">
        <v>57</v>
      </c>
      <c r="O46" s="36">
        <v>5228</v>
      </c>
      <c r="P46" s="36">
        <v>5433</v>
      </c>
      <c r="Q46" s="36">
        <v>205</v>
      </c>
      <c r="R46" s="37">
        <v>-3678</v>
      </c>
      <c r="S46" s="36"/>
      <c r="T46" s="38"/>
      <c r="U46" s="77">
        <v>94749</v>
      </c>
      <c r="V46" s="77">
        <v>89521</v>
      </c>
      <c r="W46" s="78">
        <v>89490</v>
      </c>
      <c r="X46" s="97" t="str">
        <f t="shared" si="0"/>
        <v>TX1028578-01-C_03</v>
      </c>
      <c r="Y46" s="25"/>
    </row>
    <row r="47" spans="1:25">
      <c r="A47" s="18" t="s">
        <v>53</v>
      </c>
      <c r="B47" s="19">
        <v>7</v>
      </c>
      <c r="C47" s="19">
        <v>49</v>
      </c>
      <c r="D47" s="19">
        <v>42</v>
      </c>
      <c r="E47" s="20">
        <v>39</v>
      </c>
      <c r="F47" s="19"/>
      <c r="G47" s="21"/>
      <c r="H47" s="22">
        <v>0</v>
      </c>
      <c r="I47" s="22">
        <v>-7</v>
      </c>
      <c r="J47" s="23">
        <v>52</v>
      </c>
      <c r="K47" s="91" t="str">
        <f t="shared" si="1"/>
        <v>TX1026865-00-D_02</v>
      </c>
      <c r="L47" s="25"/>
      <c r="M47" s="87"/>
      <c r="N47" s="55" t="s">
        <v>58</v>
      </c>
      <c r="O47" s="56">
        <v>2286</v>
      </c>
      <c r="P47" s="56">
        <v>404</v>
      </c>
      <c r="Q47" s="56">
        <v>-1882</v>
      </c>
      <c r="R47" s="57"/>
      <c r="S47" s="56"/>
      <c r="T47" s="2"/>
      <c r="U47" s="79">
        <v>2451</v>
      </c>
      <c r="V47" s="79">
        <v>165</v>
      </c>
      <c r="W47" s="80"/>
      <c r="X47" s="97" t="str">
        <f t="shared" si="0"/>
        <v>TX1028578-01-CT-3</v>
      </c>
      <c r="Y47" s="25"/>
    </row>
    <row r="48" spans="1:25">
      <c r="A48" s="26" t="s">
        <v>54</v>
      </c>
      <c r="B48" s="27">
        <v>12</v>
      </c>
      <c r="C48" s="27">
        <v>9</v>
      </c>
      <c r="D48" s="27">
        <v>-3</v>
      </c>
      <c r="E48" s="28"/>
      <c r="F48" s="27"/>
      <c r="G48" s="21"/>
      <c r="H48" s="24">
        <v>35</v>
      </c>
      <c r="I48" s="24">
        <v>23</v>
      </c>
      <c r="J48" s="29"/>
      <c r="K48" s="91" t="str">
        <f t="shared" si="1"/>
        <v>NO REPORTA VERSION ACTUAL</v>
      </c>
      <c r="L48" s="25"/>
      <c r="M48" s="87"/>
      <c r="N48" s="39" t="s">
        <v>59</v>
      </c>
      <c r="O48" s="40">
        <v>4551</v>
      </c>
      <c r="P48" s="40">
        <v>2550</v>
      </c>
      <c r="Q48" s="40">
        <v>-2001</v>
      </c>
      <c r="R48" s="41"/>
      <c r="S48" s="40"/>
      <c r="T48" s="42"/>
      <c r="U48" s="81">
        <v>4355</v>
      </c>
      <c r="V48" s="81">
        <v>-196</v>
      </c>
      <c r="W48" s="82"/>
      <c r="X48" s="97" t="str">
        <f t="shared" si="0"/>
        <v>TX1028578-01-CTH-3</v>
      </c>
      <c r="Y48" s="25"/>
    </row>
    <row r="49" spans="1:25">
      <c r="A49" s="26" t="s">
        <v>55</v>
      </c>
      <c r="B49" s="27">
        <v>13</v>
      </c>
      <c r="C49" s="27">
        <v>12</v>
      </c>
      <c r="D49" s="27">
        <v>-1</v>
      </c>
      <c r="E49" s="28"/>
      <c r="F49" s="27"/>
      <c r="G49" s="21"/>
      <c r="H49" s="24">
        <v>3</v>
      </c>
      <c r="I49" s="24">
        <v>-10</v>
      </c>
      <c r="J49" s="29"/>
      <c r="K49" s="91" t="str">
        <f t="shared" si="1"/>
        <v>NO REPORTA VERSION ACTUAL</v>
      </c>
      <c r="L49" s="25"/>
      <c r="M49" s="87"/>
      <c r="N49" s="18" t="s">
        <v>62</v>
      </c>
      <c r="O49" s="19">
        <v>10</v>
      </c>
      <c r="P49" s="19">
        <v>271</v>
      </c>
      <c r="Q49" s="19">
        <v>261</v>
      </c>
      <c r="R49" s="20">
        <v>12</v>
      </c>
      <c r="S49" s="19"/>
      <c r="T49" s="38"/>
      <c r="U49" s="69">
        <v>5</v>
      </c>
      <c r="V49" s="69">
        <v>-5</v>
      </c>
      <c r="W49" s="16">
        <v>-9</v>
      </c>
      <c r="X49" s="97" t="str">
        <f t="shared" si="0"/>
        <v>TX1031308-01-F_02</v>
      </c>
      <c r="Y49" s="25"/>
    </row>
    <row r="50" spans="1:25">
      <c r="A50" s="30" t="s">
        <v>56</v>
      </c>
      <c r="B50" s="31">
        <v>2</v>
      </c>
      <c r="C50" s="31">
        <v>3</v>
      </c>
      <c r="D50" s="31">
        <v>1</v>
      </c>
      <c r="E50" s="32"/>
      <c r="F50" s="31"/>
      <c r="G50" s="21"/>
      <c r="H50" s="33">
        <v>48</v>
      </c>
      <c r="I50" s="33">
        <v>46</v>
      </c>
      <c r="J50" s="34"/>
      <c r="K50" s="91" t="str">
        <f t="shared" si="1"/>
        <v>TX1026865-00-DTH-2</v>
      </c>
      <c r="L50" s="25"/>
      <c r="M50" s="87"/>
      <c r="N50" s="26" t="s">
        <v>64</v>
      </c>
      <c r="O50" s="27">
        <v>253</v>
      </c>
      <c r="P50" s="27">
        <v>2</v>
      </c>
      <c r="Q50" s="27">
        <v>-251</v>
      </c>
      <c r="R50" s="28"/>
      <c r="S50" s="27"/>
      <c r="T50" s="2"/>
      <c r="U50" s="70">
        <v>260</v>
      </c>
      <c r="V50" s="70">
        <v>7</v>
      </c>
      <c r="W50" s="71"/>
      <c r="X50" s="97" t="str">
        <f t="shared" si="0"/>
        <v>TX1031308-01-FT-2</v>
      </c>
      <c r="Y50" s="25"/>
    </row>
    <row r="51" spans="1:25">
      <c r="A51" s="43" t="s">
        <v>57</v>
      </c>
      <c r="B51" s="44">
        <v>1232</v>
      </c>
      <c r="C51" s="44">
        <v>5433</v>
      </c>
      <c r="D51" s="44">
        <v>4201</v>
      </c>
      <c r="E51" s="45">
        <v>318</v>
      </c>
      <c r="F51" s="44"/>
      <c r="G51" s="21"/>
      <c r="H51" s="36">
        <v>0</v>
      </c>
      <c r="I51" s="36">
        <v>-1232</v>
      </c>
      <c r="J51" s="37">
        <v>7534</v>
      </c>
      <c r="K51" s="91" t="str">
        <f t="shared" si="1"/>
        <v>TX1028578-01-C_03</v>
      </c>
      <c r="L51" s="25"/>
      <c r="M51" s="87"/>
      <c r="N51" s="30" t="s">
        <v>65</v>
      </c>
      <c r="O51" s="31">
        <v>258</v>
      </c>
      <c r="P51" s="31">
        <v>260</v>
      </c>
      <c r="Q51" s="31">
        <v>2</v>
      </c>
      <c r="R51" s="32"/>
      <c r="S51" s="31"/>
      <c r="T51" s="42"/>
      <c r="U51" s="72">
        <v>247</v>
      </c>
      <c r="V51" s="72">
        <v>-11</v>
      </c>
      <c r="W51" s="73"/>
      <c r="X51" s="97" t="str">
        <f t="shared" si="0"/>
        <v>TX1031308-01-FTH-2</v>
      </c>
      <c r="Y51" s="25"/>
    </row>
    <row r="52" spans="1:25">
      <c r="A52" s="46" t="s">
        <v>58</v>
      </c>
      <c r="B52" s="47">
        <v>2286</v>
      </c>
      <c r="C52" s="47">
        <v>404</v>
      </c>
      <c r="D52" s="47">
        <v>-1882</v>
      </c>
      <c r="E52" s="48"/>
      <c r="F52" s="47"/>
      <c r="G52" s="21"/>
      <c r="H52" s="56">
        <v>5705</v>
      </c>
      <c r="I52" s="56">
        <v>3419</v>
      </c>
      <c r="J52" s="57"/>
      <c r="K52" s="91" t="str">
        <f t="shared" si="1"/>
        <v>TX1028578-01-CT-3</v>
      </c>
      <c r="L52" s="25"/>
      <c r="M52" s="87"/>
      <c r="N52" s="35" t="s">
        <v>67</v>
      </c>
      <c r="O52" s="36">
        <v>4</v>
      </c>
      <c r="P52" s="36">
        <v>8</v>
      </c>
      <c r="Q52" s="36">
        <v>4</v>
      </c>
      <c r="R52" s="37">
        <v>-180</v>
      </c>
      <c r="S52" s="36"/>
      <c r="T52" s="38"/>
      <c r="U52" s="69">
        <v>6</v>
      </c>
      <c r="V52" s="69">
        <v>2</v>
      </c>
      <c r="W52" s="16">
        <v>-25</v>
      </c>
      <c r="X52" s="97" t="str">
        <f t="shared" si="0"/>
        <v>TX1031415-01-EB-3</v>
      </c>
      <c r="Y52" s="25"/>
    </row>
    <row r="53" spans="1:25">
      <c r="A53" s="49" t="s">
        <v>59</v>
      </c>
      <c r="B53" s="50">
        <v>4551</v>
      </c>
      <c r="C53" s="50">
        <v>2550</v>
      </c>
      <c r="D53" s="50">
        <v>-2001</v>
      </c>
      <c r="E53" s="51"/>
      <c r="F53" s="50"/>
      <c r="G53" s="21"/>
      <c r="H53" s="40">
        <v>9898</v>
      </c>
      <c r="I53" s="40">
        <v>5347</v>
      </c>
      <c r="J53" s="41"/>
      <c r="K53" s="91" t="str">
        <f t="shared" si="1"/>
        <v>TX1028578-01-CTH-3</v>
      </c>
      <c r="L53" s="25"/>
      <c r="M53" s="87"/>
      <c r="N53" s="55" t="s">
        <v>68</v>
      </c>
      <c r="O53" s="56">
        <v>29</v>
      </c>
      <c r="P53" s="56">
        <v>3</v>
      </c>
      <c r="Q53" s="56">
        <v>-26</v>
      </c>
      <c r="R53" s="57"/>
      <c r="S53" s="56"/>
      <c r="T53" s="2"/>
      <c r="U53" s="70">
        <v>31</v>
      </c>
      <c r="V53" s="70">
        <v>2</v>
      </c>
      <c r="W53" s="71"/>
      <c r="X53" s="97" t="str">
        <f t="shared" si="0"/>
        <v>TX1031415-01-ET-3</v>
      </c>
      <c r="Y53" s="25"/>
    </row>
    <row r="54" spans="1:25">
      <c r="A54" s="18" t="s">
        <v>60</v>
      </c>
      <c r="B54" s="19">
        <v>52</v>
      </c>
      <c r="C54" s="19">
        <v>36</v>
      </c>
      <c r="D54" s="19">
        <v>-16</v>
      </c>
      <c r="E54" s="20">
        <v>-29</v>
      </c>
      <c r="F54" s="19"/>
      <c r="G54" s="21"/>
      <c r="H54" s="22">
        <v>0</v>
      </c>
      <c r="I54" s="22">
        <v>-52</v>
      </c>
      <c r="J54" s="23">
        <v>-101</v>
      </c>
      <c r="K54" s="91" t="str">
        <f t="shared" si="1"/>
        <v>NO REPORTA VERSION ACTUAL</v>
      </c>
      <c r="L54" s="25"/>
      <c r="M54" s="87"/>
      <c r="N54" s="39" t="s">
        <v>69</v>
      </c>
      <c r="O54" s="40">
        <v>189</v>
      </c>
      <c r="P54" s="40">
        <v>31</v>
      </c>
      <c r="Q54" s="40">
        <v>-158</v>
      </c>
      <c r="R54" s="41"/>
      <c r="S54" s="40"/>
      <c r="T54" s="42"/>
      <c r="U54" s="72">
        <v>160</v>
      </c>
      <c r="V54" s="72">
        <v>-29</v>
      </c>
      <c r="W54" s="73"/>
      <c r="X54" s="97" t="str">
        <f t="shared" si="0"/>
        <v>TX1031415-01-ETH-3</v>
      </c>
      <c r="Y54" s="25"/>
    </row>
    <row r="55" spans="1:25">
      <c r="A55" s="30" t="s">
        <v>61</v>
      </c>
      <c r="B55" s="31">
        <v>49</v>
      </c>
      <c r="C55" s="31">
        <v>36</v>
      </c>
      <c r="D55" s="31">
        <v>-13</v>
      </c>
      <c r="E55" s="32"/>
      <c r="F55" s="31"/>
      <c r="G55" s="21"/>
      <c r="H55" s="33">
        <v>0</v>
      </c>
      <c r="I55" s="33">
        <v>-49</v>
      </c>
      <c r="J55" s="34"/>
      <c r="K55" s="91" t="str">
        <f t="shared" si="1"/>
        <v>NO REPORTA VERSION ACTUAL</v>
      </c>
      <c r="L55" s="58"/>
      <c r="M55" s="88"/>
      <c r="N55" s="18" t="s">
        <v>70</v>
      </c>
      <c r="O55" s="19">
        <v>47</v>
      </c>
      <c r="P55" s="19">
        <v>541</v>
      </c>
      <c r="Q55" s="19">
        <v>494</v>
      </c>
      <c r="R55" s="20">
        <v>-32</v>
      </c>
      <c r="S55" s="19"/>
      <c r="T55" s="38"/>
      <c r="U55" s="69">
        <v>16</v>
      </c>
      <c r="V55" s="69">
        <v>-31</v>
      </c>
      <c r="W55" s="16">
        <v>-127</v>
      </c>
      <c r="X55" s="97" t="str">
        <f t="shared" si="0"/>
        <v>TX1031503-01-F_04</v>
      </c>
      <c r="Y55" s="58"/>
    </row>
    <row r="56" spans="1:25">
      <c r="A56" s="18" t="s">
        <v>62</v>
      </c>
      <c r="B56" s="19">
        <v>10</v>
      </c>
      <c r="C56" s="19">
        <v>271</v>
      </c>
      <c r="D56" s="19">
        <v>261</v>
      </c>
      <c r="E56" s="20">
        <v>5</v>
      </c>
      <c r="F56" s="19"/>
      <c r="G56" s="21"/>
      <c r="H56" s="22">
        <v>0</v>
      </c>
      <c r="I56" s="22">
        <v>-10</v>
      </c>
      <c r="J56" s="23">
        <v>-528</v>
      </c>
      <c r="K56" s="91" t="str">
        <f t="shared" si="1"/>
        <v>TX1031308-01-F_02</v>
      </c>
      <c r="L56" s="58"/>
      <c r="M56" s="88"/>
      <c r="N56" s="26" t="s">
        <v>71</v>
      </c>
      <c r="O56" s="27">
        <v>36</v>
      </c>
      <c r="P56" s="27">
        <v>6</v>
      </c>
      <c r="Q56" s="27">
        <v>-30</v>
      </c>
      <c r="R56" s="28"/>
      <c r="S56" s="27"/>
      <c r="T56" s="2"/>
      <c r="U56" s="70">
        <v>4</v>
      </c>
      <c r="V56" s="70">
        <v>-32</v>
      </c>
      <c r="W56" s="71"/>
      <c r="X56" s="97" t="str">
        <f t="shared" si="0"/>
        <v>TX1031503-01-FB-4</v>
      </c>
      <c r="Y56" s="58"/>
    </row>
    <row r="57" spans="1:25">
      <c r="A57" s="26" t="s">
        <v>63</v>
      </c>
      <c r="B57" s="27">
        <v>7</v>
      </c>
      <c r="C57" s="27">
        <v>0</v>
      </c>
      <c r="D57" s="27">
        <v>-7</v>
      </c>
      <c r="E57" s="28"/>
      <c r="F57" s="27"/>
      <c r="G57" s="21"/>
      <c r="H57" s="24">
        <v>0</v>
      </c>
      <c r="I57" s="24">
        <v>-7</v>
      </c>
      <c r="J57" s="29"/>
      <c r="K57" s="91" t="str">
        <f t="shared" si="1"/>
        <v>NO REPORTA VERSION ACTUAL</v>
      </c>
      <c r="L57" s="58"/>
      <c r="M57" s="88"/>
      <c r="N57" s="26" t="s">
        <v>72</v>
      </c>
      <c r="O57" s="27">
        <v>34</v>
      </c>
      <c r="P57" s="27">
        <v>13</v>
      </c>
      <c r="Q57" s="27">
        <v>-21</v>
      </c>
      <c r="R57" s="28"/>
      <c r="S57" s="27"/>
      <c r="T57" s="2"/>
      <c r="U57" s="70">
        <v>14</v>
      </c>
      <c r="V57" s="70">
        <v>-20</v>
      </c>
      <c r="W57" s="71"/>
      <c r="X57" s="97" t="str">
        <f t="shared" si="0"/>
        <v>TX1031503-01-FT-4</v>
      </c>
      <c r="Y57" s="58"/>
    </row>
    <row r="58" spans="1:25">
      <c r="A58" s="26" t="s">
        <v>64</v>
      </c>
      <c r="B58" s="27">
        <v>253</v>
      </c>
      <c r="C58" s="27">
        <v>2</v>
      </c>
      <c r="D58" s="27">
        <v>-251</v>
      </c>
      <c r="E58" s="28"/>
      <c r="F58" s="27"/>
      <c r="G58" s="21"/>
      <c r="H58" s="24">
        <v>0</v>
      </c>
      <c r="I58" s="24">
        <v>-253</v>
      </c>
      <c r="J58" s="29"/>
      <c r="K58" s="91" t="str">
        <f t="shared" si="1"/>
        <v>TX1031308-01-FT-2</v>
      </c>
      <c r="L58" s="58"/>
      <c r="M58" s="88"/>
      <c r="N58" s="30" t="s">
        <v>73</v>
      </c>
      <c r="O58" s="31">
        <v>489</v>
      </c>
      <c r="P58" s="31">
        <v>14</v>
      </c>
      <c r="Q58" s="31">
        <v>-475</v>
      </c>
      <c r="R58" s="32"/>
      <c r="S58" s="31"/>
      <c r="T58" s="42"/>
      <c r="U58" s="72">
        <v>445</v>
      </c>
      <c r="V58" s="72">
        <v>-44</v>
      </c>
      <c r="W58" s="73"/>
      <c r="X58" s="97" t="str">
        <f t="shared" si="0"/>
        <v>TX1031503-01-FTH-4</v>
      </c>
      <c r="Y58" s="58"/>
    </row>
    <row r="59" spans="1:25">
      <c r="A59" s="30" t="s">
        <v>65</v>
      </c>
      <c r="B59" s="31">
        <v>258</v>
      </c>
      <c r="C59" s="31">
        <v>260</v>
      </c>
      <c r="D59" s="31">
        <v>2</v>
      </c>
      <c r="E59" s="32"/>
      <c r="F59" s="31"/>
      <c r="G59" s="21"/>
      <c r="H59" s="33">
        <v>0</v>
      </c>
      <c r="I59" s="33">
        <v>-258</v>
      </c>
      <c r="J59" s="34"/>
      <c r="K59" s="91" t="str">
        <f t="shared" si="1"/>
        <v>TX1031308-01-FTH-2</v>
      </c>
      <c r="L59" s="25"/>
      <c r="M59" s="87"/>
      <c r="N59" s="18" t="s">
        <v>74</v>
      </c>
      <c r="O59" s="19">
        <v>14</v>
      </c>
      <c r="P59" s="19">
        <v>15</v>
      </c>
      <c r="Q59" s="19">
        <v>1</v>
      </c>
      <c r="R59" s="20">
        <v>0</v>
      </c>
      <c r="S59" s="19"/>
      <c r="T59" s="38"/>
      <c r="U59" s="69">
        <v>11</v>
      </c>
      <c r="V59" s="69">
        <v>-3</v>
      </c>
      <c r="W59" s="16">
        <v>0</v>
      </c>
      <c r="X59" s="97" t="str">
        <f t="shared" si="0"/>
        <v>TX1031503-01-G_01</v>
      </c>
      <c r="Y59" s="25"/>
    </row>
    <row r="60" spans="1:25">
      <c r="A60" s="18" t="s">
        <v>66</v>
      </c>
      <c r="B60" s="19">
        <v>5</v>
      </c>
      <c r="C60" s="19">
        <v>192</v>
      </c>
      <c r="D60" s="19">
        <v>187</v>
      </c>
      <c r="E60" s="20">
        <v>7</v>
      </c>
      <c r="F60" s="19"/>
      <c r="G60" s="21"/>
      <c r="H60" s="22">
        <v>0</v>
      </c>
      <c r="I60" s="22">
        <v>-5</v>
      </c>
      <c r="J60" s="23">
        <v>195</v>
      </c>
      <c r="K60" s="91" t="str">
        <f t="shared" si="1"/>
        <v>NO REPORTA VERSION ACTUAL</v>
      </c>
      <c r="L60" s="25"/>
      <c r="M60" s="87"/>
      <c r="N60" s="26" t="s">
        <v>181</v>
      </c>
      <c r="O60" s="27">
        <v>0</v>
      </c>
      <c r="P60" s="27">
        <v>0</v>
      </c>
      <c r="Q60" s="27">
        <v>0</v>
      </c>
      <c r="R60" s="28"/>
      <c r="S60" s="27"/>
      <c r="T60" s="2"/>
      <c r="U60" s="70">
        <v>2</v>
      </c>
      <c r="V60" s="70">
        <v>2</v>
      </c>
      <c r="W60" s="71"/>
      <c r="X60" s="97" t="str">
        <f t="shared" si="0"/>
        <v>NO REPORTA VERSION ANTERIOR</v>
      </c>
      <c r="Y60" s="25"/>
    </row>
    <row r="61" spans="1:25">
      <c r="A61" s="26" t="s">
        <v>67</v>
      </c>
      <c r="B61" s="27">
        <v>4</v>
      </c>
      <c r="C61" s="27">
        <v>8</v>
      </c>
      <c r="D61" s="27">
        <v>4</v>
      </c>
      <c r="E61" s="28"/>
      <c r="F61" s="27"/>
      <c r="G61" s="21"/>
      <c r="H61" s="24">
        <v>7</v>
      </c>
      <c r="I61" s="24">
        <v>3</v>
      </c>
      <c r="J61" s="29"/>
      <c r="K61" s="91" t="str">
        <f t="shared" si="1"/>
        <v>TX1031415-01-EB-3</v>
      </c>
      <c r="L61" s="25"/>
      <c r="M61" s="87"/>
      <c r="N61" s="30" t="s">
        <v>75</v>
      </c>
      <c r="O61" s="31">
        <v>2</v>
      </c>
      <c r="P61" s="31">
        <v>1</v>
      </c>
      <c r="Q61" s="31">
        <v>-1</v>
      </c>
      <c r="R61" s="32"/>
      <c r="S61" s="31"/>
      <c r="T61" s="42"/>
      <c r="U61" s="72">
        <v>3</v>
      </c>
      <c r="V61" s="72">
        <v>1</v>
      </c>
      <c r="W61" s="73"/>
      <c r="X61" s="97" t="str">
        <f t="shared" si="0"/>
        <v>TX1031503-01-GTH-1</v>
      </c>
      <c r="Y61" s="25"/>
    </row>
    <row r="62" spans="1:25">
      <c r="A62" s="26" t="s">
        <v>68</v>
      </c>
      <c r="B62" s="27">
        <v>29</v>
      </c>
      <c r="C62" s="27">
        <v>3</v>
      </c>
      <c r="D62" s="27">
        <v>-26</v>
      </c>
      <c r="E62" s="28"/>
      <c r="F62" s="27"/>
      <c r="G62" s="21"/>
      <c r="H62" s="24">
        <v>67</v>
      </c>
      <c r="I62" s="24">
        <v>38</v>
      </c>
      <c r="J62" s="29"/>
      <c r="K62" s="91" t="str">
        <f t="shared" si="1"/>
        <v>TX1031415-01-ET-3</v>
      </c>
      <c r="L62" s="25"/>
      <c r="M62" s="87"/>
      <c r="N62" s="43" t="s">
        <v>76</v>
      </c>
      <c r="O62" s="44">
        <v>0</v>
      </c>
      <c r="P62" s="44">
        <v>3</v>
      </c>
      <c r="Q62" s="44">
        <v>3</v>
      </c>
      <c r="R62" s="45">
        <v>9</v>
      </c>
      <c r="S62" s="44"/>
      <c r="T62" s="38"/>
      <c r="U62" s="69">
        <v>1</v>
      </c>
      <c r="V62" s="69">
        <v>1</v>
      </c>
      <c r="W62" s="16">
        <v>3</v>
      </c>
      <c r="X62" s="97" t="str">
        <f t="shared" si="0"/>
        <v>TX1031503-02-AB-3</v>
      </c>
      <c r="Y62" s="25"/>
    </row>
    <row r="63" spans="1:25">
      <c r="A63" s="30" t="s">
        <v>69</v>
      </c>
      <c r="B63" s="31">
        <v>189</v>
      </c>
      <c r="C63" s="31">
        <v>31</v>
      </c>
      <c r="D63" s="31">
        <v>-158</v>
      </c>
      <c r="E63" s="32"/>
      <c r="F63" s="31"/>
      <c r="G63" s="21"/>
      <c r="H63" s="33">
        <v>348</v>
      </c>
      <c r="I63" s="33">
        <v>159</v>
      </c>
      <c r="J63" s="34"/>
      <c r="K63" s="91" t="str">
        <f t="shared" si="1"/>
        <v>TX1031415-01-ETH-3</v>
      </c>
      <c r="L63" s="25"/>
      <c r="M63" s="87"/>
      <c r="N63" s="46" t="s">
        <v>77</v>
      </c>
      <c r="O63" s="47">
        <v>0</v>
      </c>
      <c r="P63" s="47">
        <v>4</v>
      </c>
      <c r="Q63" s="47">
        <v>4</v>
      </c>
      <c r="R63" s="48"/>
      <c r="S63" s="47"/>
      <c r="T63" s="2"/>
      <c r="U63" s="70">
        <v>1</v>
      </c>
      <c r="V63" s="70">
        <v>1</v>
      </c>
      <c r="W63" s="71"/>
      <c r="X63" s="97" t="str">
        <f t="shared" si="0"/>
        <v>TX1031503-02-AT-3</v>
      </c>
      <c r="Y63" s="25"/>
    </row>
    <row r="64" spans="1:25">
      <c r="A64" s="18" t="s">
        <v>70</v>
      </c>
      <c r="B64" s="19">
        <v>47</v>
      </c>
      <c r="C64" s="19">
        <v>541</v>
      </c>
      <c r="D64" s="19">
        <v>494</v>
      </c>
      <c r="E64" s="20">
        <v>-32</v>
      </c>
      <c r="F64" s="19"/>
      <c r="G64" s="21"/>
      <c r="H64" s="22">
        <v>0</v>
      </c>
      <c r="I64" s="22">
        <v>-47</v>
      </c>
      <c r="J64" s="23">
        <v>493</v>
      </c>
      <c r="K64" s="91" t="str">
        <f t="shared" si="1"/>
        <v>TX1031503-01-F_04</v>
      </c>
      <c r="L64" s="25"/>
      <c r="M64" s="87"/>
      <c r="N64" s="49" t="s">
        <v>78</v>
      </c>
      <c r="O64" s="50">
        <v>0</v>
      </c>
      <c r="P64" s="50">
        <v>2</v>
      </c>
      <c r="Q64" s="50">
        <v>2</v>
      </c>
      <c r="R64" s="51"/>
      <c r="S64" s="50"/>
      <c r="T64" s="42"/>
      <c r="U64" s="72">
        <v>1</v>
      </c>
      <c r="V64" s="72">
        <v>1</v>
      </c>
      <c r="W64" s="73"/>
      <c r="X64" s="97" t="str">
        <f t="shared" si="0"/>
        <v>TX1031503-02-ATH-3</v>
      </c>
      <c r="Y64" s="25"/>
    </row>
    <row r="65" spans="1:25">
      <c r="A65" s="26" t="s">
        <v>71</v>
      </c>
      <c r="B65" s="27">
        <v>36</v>
      </c>
      <c r="C65" s="27">
        <v>6</v>
      </c>
      <c r="D65" s="27">
        <v>-30</v>
      </c>
      <c r="E65" s="28"/>
      <c r="F65" s="27"/>
      <c r="G65" s="21"/>
      <c r="H65" s="24">
        <v>70</v>
      </c>
      <c r="I65" s="24">
        <v>34</v>
      </c>
      <c r="J65" s="29"/>
      <c r="K65" s="91" t="str">
        <f t="shared" si="1"/>
        <v>TX1031503-01-FB-4</v>
      </c>
      <c r="L65" s="25"/>
      <c r="M65" s="87"/>
      <c r="N65" s="43" t="s">
        <v>182</v>
      </c>
      <c r="O65" s="44">
        <v>0</v>
      </c>
      <c r="P65" s="44">
        <v>23</v>
      </c>
      <c r="Q65" s="44">
        <v>23</v>
      </c>
      <c r="R65" s="45">
        <v>24</v>
      </c>
      <c r="S65" s="44"/>
      <c r="T65" s="38"/>
      <c r="U65" s="69">
        <v>5</v>
      </c>
      <c r="V65" s="69">
        <v>5</v>
      </c>
      <c r="W65" s="16">
        <v>17</v>
      </c>
      <c r="X65" s="97" t="str">
        <f t="shared" si="0"/>
        <v>NO REPORTA VERSION ANTERIOR</v>
      </c>
      <c r="Y65" s="25"/>
    </row>
    <row r="66" spans="1:25">
      <c r="A66" s="26" t="s">
        <v>72</v>
      </c>
      <c r="B66" s="27">
        <v>34</v>
      </c>
      <c r="C66" s="27">
        <v>13</v>
      </c>
      <c r="D66" s="27">
        <v>-21</v>
      </c>
      <c r="E66" s="28"/>
      <c r="F66" s="27"/>
      <c r="G66" s="21"/>
      <c r="H66" s="24">
        <v>27</v>
      </c>
      <c r="I66" s="24">
        <v>-7</v>
      </c>
      <c r="J66" s="29"/>
      <c r="K66" s="91" t="str">
        <f t="shared" si="1"/>
        <v>TX1031503-01-FT-4</v>
      </c>
      <c r="L66" s="25"/>
      <c r="M66" s="87"/>
      <c r="N66" s="49" t="s">
        <v>183</v>
      </c>
      <c r="O66" s="50">
        <v>0</v>
      </c>
      <c r="P66" s="50">
        <v>1</v>
      </c>
      <c r="Q66" s="50">
        <v>1</v>
      </c>
      <c r="R66" s="51"/>
      <c r="S66" s="50"/>
      <c r="T66" s="42"/>
      <c r="U66" s="72">
        <v>12</v>
      </c>
      <c r="V66" s="72">
        <v>12</v>
      </c>
      <c r="W66" s="73"/>
      <c r="X66" s="97" t="str">
        <f t="shared" si="0"/>
        <v>NO REPORTA VERSION ANTERIOR</v>
      </c>
      <c r="Y66" s="25"/>
    </row>
    <row r="67" spans="1:25">
      <c r="A67" s="30" t="s">
        <v>73</v>
      </c>
      <c r="B67" s="31">
        <v>489</v>
      </c>
      <c r="C67" s="31">
        <v>14</v>
      </c>
      <c r="D67" s="31">
        <v>-475</v>
      </c>
      <c r="E67" s="32"/>
      <c r="F67" s="31"/>
      <c r="G67" s="21"/>
      <c r="H67" s="33">
        <v>1002</v>
      </c>
      <c r="I67" s="33">
        <v>513</v>
      </c>
      <c r="J67" s="34"/>
      <c r="K67" s="91" t="str">
        <f t="shared" si="1"/>
        <v>TX1031503-01-FTH-4</v>
      </c>
      <c r="L67" s="25"/>
      <c r="M67" s="87"/>
      <c r="N67" s="35" t="s">
        <v>81</v>
      </c>
      <c r="O67" s="36">
        <v>354</v>
      </c>
      <c r="P67" s="36">
        <v>1007</v>
      </c>
      <c r="Q67" s="36">
        <v>653</v>
      </c>
      <c r="R67" s="37">
        <v>-624</v>
      </c>
      <c r="S67" s="36"/>
      <c r="T67" s="21"/>
      <c r="U67" s="77">
        <v>310</v>
      </c>
      <c r="V67" s="77">
        <v>-44</v>
      </c>
      <c r="W67" s="78">
        <v>41974</v>
      </c>
      <c r="X67" s="97" t="str">
        <f t="shared" si="0"/>
        <v>TX1034827-01-E_01</v>
      </c>
      <c r="Y67" s="25"/>
    </row>
    <row r="68" spans="1:25">
      <c r="A68" s="18" t="s">
        <v>74</v>
      </c>
      <c r="B68" s="19">
        <v>14</v>
      </c>
      <c r="C68" s="19">
        <v>15</v>
      </c>
      <c r="D68" s="19">
        <v>1</v>
      </c>
      <c r="E68" s="20">
        <v>0</v>
      </c>
      <c r="F68" s="19"/>
      <c r="G68" s="21"/>
      <c r="H68" s="22">
        <v>0</v>
      </c>
      <c r="I68" s="22">
        <v>-14</v>
      </c>
      <c r="J68" s="23">
        <v>-16</v>
      </c>
      <c r="K68" s="91" t="str">
        <f t="shared" si="1"/>
        <v>TX1031503-01-G_01</v>
      </c>
      <c r="L68" s="25"/>
      <c r="M68" s="87"/>
      <c r="N68" s="55" t="s">
        <v>82</v>
      </c>
      <c r="O68" s="56">
        <v>25</v>
      </c>
      <c r="P68" s="56">
        <v>150</v>
      </c>
      <c r="Q68" s="56">
        <v>125</v>
      </c>
      <c r="R68" s="57"/>
      <c r="S68" s="56"/>
      <c r="T68" s="38"/>
      <c r="U68" s="79">
        <v>11</v>
      </c>
      <c r="V68" s="79">
        <v>-14</v>
      </c>
      <c r="W68" s="80"/>
      <c r="X68" s="97" t="str">
        <f t="shared" si="0"/>
        <v>TX1034827-01-EB-1</v>
      </c>
      <c r="Y68" s="25"/>
    </row>
    <row r="69" spans="1:25">
      <c r="A69" s="30" t="s">
        <v>75</v>
      </c>
      <c r="B69" s="31">
        <v>2</v>
      </c>
      <c r="C69" s="31">
        <v>1</v>
      </c>
      <c r="D69" s="31">
        <v>-1</v>
      </c>
      <c r="E69" s="32"/>
      <c r="F69" s="31"/>
      <c r="G69" s="21"/>
      <c r="H69" s="33">
        <v>0</v>
      </c>
      <c r="I69" s="33">
        <v>-2</v>
      </c>
      <c r="J69" s="34"/>
      <c r="K69" s="91" t="str">
        <f t="shared" si="1"/>
        <v>TX1031503-01-GTH-1</v>
      </c>
      <c r="L69" s="25"/>
      <c r="M69" s="87"/>
      <c r="N69" s="55" t="s">
        <v>83</v>
      </c>
      <c r="O69" s="56">
        <v>352</v>
      </c>
      <c r="P69" s="56">
        <v>34</v>
      </c>
      <c r="Q69" s="56">
        <v>-318</v>
      </c>
      <c r="R69" s="57"/>
      <c r="S69" s="56"/>
      <c r="T69" s="42"/>
      <c r="U69" s="79">
        <v>351</v>
      </c>
      <c r="V69" s="79">
        <v>-1</v>
      </c>
      <c r="W69" s="80"/>
      <c r="X69" s="97" t="str">
        <f t="shared" si="0"/>
        <v>TX1034827-01-ET-1</v>
      </c>
      <c r="Y69" s="25"/>
    </row>
    <row r="70" spans="1:25">
      <c r="A70" s="43" t="s">
        <v>76</v>
      </c>
      <c r="B70" s="44">
        <v>0</v>
      </c>
      <c r="C70" s="44">
        <v>3</v>
      </c>
      <c r="D70" s="44">
        <v>3</v>
      </c>
      <c r="E70" s="45">
        <v>9</v>
      </c>
      <c r="F70" s="44"/>
      <c r="G70" s="21"/>
      <c r="H70" s="22">
        <v>30</v>
      </c>
      <c r="I70" s="22">
        <v>30</v>
      </c>
      <c r="J70" s="23">
        <v>59</v>
      </c>
      <c r="K70" s="91" t="str">
        <f t="shared" ref="K70:K133" si="2">IFERROR(VLOOKUP(A70,$N:$Y,1,0),"NO REPORTA VERSION ACTUAL")</f>
        <v>TX1031503-02-AB-3</v>
      </c>
      <c r="L70" s="25"/>
      <c r="M70" s="87"/>
      <c r="N70" s="55" t="s">
        <v>84</v>
      </c>
      <c r="O70" s="56">
        <v>367</v>
      </c>
      <c r="P70" s="56">
        <v>26</v>
      </c>
      <c r="Q70" s="56">
        <v>-341</v>
      </c>
      <c r="R70" s="57"/>
      <c r="S70" s="56"/>
      <c r="T70" s="21"/>
      <c r="U70" s="79">
        <v>352</v>
      </c>
      <c r="V70" s="79">
        <v>-15</v>
      </c>
      <c r="W70" s="80"/>
      <c r="X70" s="97" t="str">
        <f t="shared" ref="X70:X133" si="3">IFERROR(VLOOKUP(N70,$A:$L,1,0),"NO REPORTA VERSION ANTERIOR")</f>
        <v>TX1034827-01-ETH-1</v>
      </c>
      <c r="Y70" s="25"/>
    </row>
    <row r="71" spans="1:25">
      <c r="A71" s="46" t="s">
        <v>77</v>
      </c>
      <c r="B71" s="47">
        <v>0</v>
      </c>
      <c r="C71" s="47">
        <v>4</v>
      </c>
      <c r="D71" s="47">
        <v>4</v>
      </c>
      <c r="E71" s="48"/>
      <c r="F71" s="47"/>
      <c r="G71" s="21"/>
      <c r="H71" s="24">
        <v>6</v>
      </c>
      <c r="I71" s="24">
        <v>6</v>
      </c>
      <c r="J71" s="29"/>
      <c r="K71" s="91" t="str">
        <f t="shared" si="2"/>
        <v>TX1031503-02-AT-3</v>
      </c>
      <c r="L71" s="25"/>
      <c r="M71" s="87"/>
      <c r="N71" s="39" t="s">
        <v>184</v>
      </c>
      <c r="O71" s="40">
        <v>792</v>
      </c>
      <c r="P71" s="40">
        <v>49</v>
      </c>
      <c r="Q71" s="40">
        <v>-743</v>
      </c>
      <c r="R71" s="41"/>
      <c r="S71" s="40"/>
      <c r="T71" s="21"/>
      <c r="U71" s="81">
        <v>42840</v>
      </c>
      <c r="V71" s="81">
        <v>42048</v>
      </c>
      <c r="W71" s="82"/>
      <c r="X71" s="97" t="str">
        <f t="shared" si="3"/>
        <v>NO REPORTA VERSION ANTERIOR</v>
      </c>
      <c r="Y71" s="25"/>
    </row>
    <row r="72" spans="1:25">
      <c r="A72" s="49" t="s">
        <v>78</v>
      </c>
      <c r="B72" s="50">
        <v>0</v>
      </c>
      <c r="C72" s="50">
        <v>2</v>
      </c>
      <c r="D72" s="50">
        <v>2</v>
      </c>
      <c r="E72" s="51"/>
      <c r="F72" s="50"/>
      <c r="G72" s="21"/>
      <c r="H72" s="33">
        <v>23</v>
      </c>
      <c r="I72" s="33">
        <v>23</v>
      </c>
      <c r="J72" s="34"/>
      <c r="K72" s="91" t="str">
        <f t="shared" si="2"/>
        <v>TX1031503-02-ATH-3</v>
      </c>
      <c r="L72" s="25"/>
      <c r="M72" s="87"/>
      <c r="N72" s="18" t="s">
        <v>87</v>
      </c>
      <c r="O72" s="19">
        <v>25</v>
      </c>
      <c r="P72" s="19">
        <v>189</v>
      </c>
      <c r="Q72" s="19">
        <v>164</v>
      </c>
      <c r="R72" s="20">
        <v>49</v>
      </c>
      <c r="S72" s="19"/>
      <c r="T72" s="21"/>
      <c r="U72" s="69">
        <v>14</v>
      </c>
      <c r="V72" s="69">
        <v>-11</v>
      </c>
      <c r="W72" s="16">
        <v>-14</v>
      </c>
      <c r="X72" s="97" t="str">
        <f t="shared" si="3"/>
        <v>TX1041562-00-B_02</v>
      </c>
      <c r="Y72" s="25"/>
    </row>
    <row r="73" spans="1:25">
      <c r="A73" s="18" t="s">
        <v>79</v>
      </c>
      <c r="B73" s="19">
        <v>0</v>
      </c>
      <c r="C73" s="19">
        <v>0</v>
      </c>
      <c r="D73" s="19">
        <v>0</v>
      </c>
      <c r="E73" s="20">
        <v>0</v>
      </c>
      <c r="F73" s="19"/>
      <c r="G73" s="21"/>
      <c r="H73" s="22">
        <v>7</v>
      </c>
      <c r="I73" s="22">
        <v>7</v>
      </c>
      <c r="J73" s="23">
        <v>14</v>
      </c>
      <c r="K73" s="91" t="str">
        <f t="shared" si="2"/>
        <v>NO REPORTA VERSION ACTUAL</v>
      </c>
      <c r="L73" s="58"/>
      <c r="M73" s="88"/>
      <c r="N73" s="26" t="s">
        <v>89</v>
      </c>
      <c r="O73" s="27">
        <v>24</v>
      </c>
      <c r="P73" s="27">
        <v>8</v>
      </c>
      <c r="Q73" s="27">
        <v>-16</v>
      </c>
      <c r="R73" s="28"/>
      <c r="S73" s="27"/>
      <c r="T73" s="21"/>
      <c r="U73" s="70">
        <v>11</v>
      </c>
      <c r="V73" s="70">
        <v>-13</v>
      </c>
      <c r="W73" s="71"/>
      <c r="X73" s="97" t="str">
        <f t="shared" si="3"/>
        <v>TX1041562-00-BT-2</v>
      </c>
      <c r="Y73" s="58"/>
    </row>
    <row r="74" spans="1:25">
      <c r="A74" s="30" t="s">
        <v>80</v>
      </c>
      <c r="B74" s="31">
        <v>0</v>
      </c>
      <c r="C74" s="31">
        <v>0</v>
      </c>
      <c r="D74" s="31">
        <v>0</v>
      </c>
      <c r="E74" s="32"/>
      <c r="F74" s="31"/>
      <c r="G74" s="21"/>
      <c r="H74" s="33">
        <v>7</v>
      </c>
      <c r="I74" s="33">
        <v>7</v>
      </c>
      <c r="J74" s="34"/>
      <c r="K74" s="91" t="str">
        <f t="shared" si="2"/>
        <v>NO REPORTA VERSION ACTUAL</v>
      </c>
      <c r="L74" s="25"/>
      <c r="M74" s="87"/>
      <c r="N74" s="30" t="s">
        <v>90</v>
      </c>
      <c r="O74" s="31">
        <v>123</v>
      </c>
      <c r="P74" s="31">
        <v>24</v>
      </c>
      <c r="Q74" s="31">
        <v>-99</v>
      </c>
      <c r="R74" s="32"/>
      <c r="S74" s="31"/>
      <c r="T74" s="21"/>
      <c r="U74" s="72">
        <v>133</v>
      </c>
      <c r="V74" s="72">
        <v>10</v>
      </c>
      <c r="W74" s="73"/>
      <c r="X74" s="97" t="str">
        <f t="shared" si="3"/>
        <v>TX1041562-00-BTH-2</v>
      </c>
      <c r="Y74" s="25"/>
    </row>
    <row r="75" spans="1:25">
      <c r="A75" s="18" t="s">
        <v>81</v>
      </c>
      <c r="B75" s="19">
        <v>354</v>
      </c>
      <c r="C75" s="19">
        <v>1007</v>
      </c>
      <c r="D75" s="19">
        <v>653</v>
      </c>
      <c r="E75" s="20">
        <v>119</v>
      </c>
      <c r="F75" s="19"/>
      <c r="G75" s="21"/>
      <c r="H75" s="22">
        <v>35</v>
      </c>
      <c r="I75" s="22">
        <v>-319</v>
      </c>
      <c r="J75" s="23">
        <v>946</v>
      </c>
      <c r="K75" s="91" t="str">
        <f t="shared" si="2"/>
        <v>TX1034827-01-E_01</v>
      </c>
      <c r="L75" s="25"/>
      <c r="M75" s="87"/>
      <c r="N75" s="35" t="s">
        <v>95</v>
      </c>
      <c r="O75" s="36">
        <v>12</v>
      </c>
      <c r="P75" s="36">
        <v>205</v>
      </c>
      <c r="Q75" s="36">
        <v>193</v>
      </c>
      <c r="R75" s="37">
        <v>1233</v>
      </c>
      <c r="S75" s="36"/>
      <c r="T75" s="21"/>
      <c r="U75" s="77">
        <v>51984</v>
      </c>
      <c r="V75" s="77">
        <v>51972</v>
      </c>
      <c r="W75" s="78">
        <v>52861</v>
      </c>
      <c r="X75" s="97" t="str">
        <f t="shared" si="3"/>
        <v>TX1045483-00-J_01</v>
      </c>
      <c r="Y75" s="25"/>
    </row>
    <row r="76" spans="1:25">
      <c r="A76" s="26" t="s">
        <v>82</v>
      </c>
      <c r="B76" s="27">
        <v>25</v>
      </c>
      <c r="C76" s="27">
        <v>150</v>
      </c>
      <c r="D76" s="27">
        <v>125</v>
      </c>
      <c r="E76" s="28"/>
      <c r="F76" s="27"/>
      <c r="G76" s="21"/>
      <c r="H76" s="24">
        <v>42</v>
      </c>
      <c r="I76" s="24">
        <v>17</v>
      </c>
      <c r="J76" s="29"/>
      <c r="K76" s="91" t="str">
        <f t="shared" si="2"/>
        <v>TX1034827-01-EB-1</v>
      </c>
      <c r="L76" s="25"/>
      <c r="M76" s="87"/>
      <c r="N76" s="55" t="s">
        <v>96</v>
      </c>
      <c r="O76" s="56">
        <v>0</v>
      </c>
      <c r="P76" s="56">
        <v>223</v>
      </c>
      <c r="Q76" s="56">
        <v>223</v>
      </c>
      <c r="R76" s="57"/>
      <c r="S76" s="56"/>
      <c r="T76" s="21"/>
      <c r="U76" s="79">
        <v>90</v>
      </c>
      <c r="V76" s="79">
        <v>90</v>
      </c>
      <c r="W76" s="80"/>
      <c r="X76" s="97" t="str">
        <f t="shared" si="3"/>
        <v>TX1045483-00-JB-1</v>
      </c>
      <c r="Y76" s="25"/>
    </row>
    <row r="77" spans="1:25">
      <c r="A77" s="26" t="s">
        <v>83</v>
      </c>
      <c r="B77" s="27">
        <v>352</v>
      </c>
      <c r="C77" s="27">
        <v>34</v>
      </c>
      <c r="D77" s="27">
        <v>-318</v>
      </c>
      <c r="E77" s="28"/>
      <c r="F77" s="27"/>
      <c r="G77" s="21"/>
      <c r="H77" s="24">
        <v>41</v>
      </c>
      <c r="I77" s="24">
        <v>-311</v>
      </c>
      <c r="J77" s="29"/>
      <c r="K77" s="91" t="str">
        <f t="shared" si="2"/>
        <v>TX1034827-01-ET-1</v>
      </c>
      <c r="L77" s="25"/>
      <c r="M77" s="87"/>
      <c r="N77" s="55" t="s">
        <v>97</v>
      </c>
      <c r="O77" s="56">
        <v>32</v>
      </c>
      <c r="P77" s="56">
        <v>69</v>
      </c>
      <c r="Q77" s="56">
        <v>37</v>
      </c>
      <c r="R77" s="57"/>
      <c r="S77" s="56"/>
      <c r="T77" s="21"/>
      <c r="U77" s="79">
        <v>785</v>
      </c>
      <c r="V77" s="79">
        <v>753</v>
      </c>
      <c r="W77" s="80"/>
      <c r="X77" s="97" t="str">
        <f t="shared" si="3"/>
        <v>TX1045483-00-JT-1</v>
      </c>
      <c r="Y77" s="25"/>
    </row>
    <row r="78" spans="1:25">
      <c r="A78" s="30" t="s">
        <v>84</v>
      </c>
      <c r="B78" s="31">
        <v>367</v>
      </c>
      <c r="C78" s="31">
        <v>26</v>
      </c>
      <c r="D78" s="31">
        <v>-341</v>
      </c>
      <c r="E78" s="32"/>
      <c r="F78" s="31"/>
      <c r="G78" s="21"/>
      <c r="H78" s="33">
        <v>1926</v>
      </c>
      <c r="I78" s="33">
        <v>1559</v>
      </c>
      <c r="J78" s="34"/>
      <c r="K78" s="91" t="str">
        <f t="shared" si="2"/>
        <v>TX1034827-01-ETH-1</v>
      </c>
      <c r="L78" s="25"/>
      <c r="M78" s="87"/>
      <c r="N78" s="55" t="s">
        <v>98</v>
      </c>
      <c r="O78" s="56">
        <v>40</v>
      </c>
      <c r="P78" s="56">
        <v>820</v>
      </c>
      <c r="Q78" s="56">
        <v>780</v>
      </c>
      <c r="R78" s="57"/>
      <c r="S78" s="56"/>
      <c r="T78" s="21"/>
      <c r="U78" s="81">
        <v>86</v>
      </c>
      <c r="V78" s="81">
        <v>46</v>
      </c>
      <c r="W78" s="82"/>
      <c r="X78" s="97" t="str">
        <f t="shared" si="3"/>
        <v>TX1045483-00-JTH-1</v>
      </c>
      <c r="Y78" s="25"/>
    </row>
    <row r="79" spans="1:25">
      <c r="A79" s="18" t="s">
        <v>85</v>
      </c>
      <c r="B79" s="19">
        <v>0</v>
      </c>
      <c r="C79" s="19">
        <v>0</v>
      </c>
      <c r="D79" s="19">
        <v>0</v>
      </c>
      <c r="E79" s="20">
        <v>0</v>
      </c>
      <c r="F79" s="19"/>
      <c r="G79" s="21"/>
      <c r="H79" s="22">
        <v>2</v>
      </c>
      <c r="I79" s="22">
        <v>2</v>
      </c>
      <c r="J79" s="23">
        <v>4</v>
      </c>
      <c r="K79" s="91" t="str">
        <f t="shared" si="2"/>
        <v>NO REPORTA VERSION ACTUAL</v>
      </c>
      <c r="L79" s="25"/>
      <c r="M79" s="87"/>
      <c r="N79" s="35" t="s">
        <v>99</v>
      </c>
      <c r="O79" s="36">
        <v>31</v>
      </c>
      <c r="P79" s="36">
        <v>17</v>
      </c>
      <c r="Q79" s="36">
        <v>-14</v>
      </c>
      <c r="R79" s="37">
        <f>SUM(Q79:Q82)</f>
        <v>-578</v>
      </c>
      <c r="S79" s="95"/>
      <c r="T79" s="21"/>
      <c r="U79" s="74">
        <v>13</v>
      </c>
      <c r="V79" s="74">
        <v>-18</v>
      </c>
      <c r="W79" s="75">
        <v>-18</v>
      </c>
      <c r="X79" s="97" t="str">
        <f t="shared" si="3"/>
        <v>TX1045490-00-G_01</v>
      </c>
      <c r="Y79" s="25"/>
    </row>
    <row r="80" spans="1:25">
      <c r="A80" s="30" t="s">
        <v>86</v>
      </c>
      <c r="B80" s="31">
        <v>0</v>
      </c>
      <c r="C80" s="31">
        <v>0</v>
      </c>
      <c r="D80" s="31">
        <v>0</v>
      </c>
      <c r="E80" s="32"/>
      <c r="F80" s="31"/>
      <c r="G80" s="21"/>
      <c r="H80" s="33">
        <v>2</v>
      </c>
      <c r="I80" s="33">
        <v>2</v>
      </c>
      <c r="J80" s="34"/>
      <c r="K80" s="91" t="str">
        <f t="shared" si="2"/>
        <v>NO REPORTA VERSION ACTUAL</v>
      </c>
      <c r="L80" s="25"/>
      <c r="M80" s="87"/>
      <c r="N80" s="55" t="s">
        <v>101</v>
      </c>
      <c r="O80" s="56">
        <v>97</v>
      </c>
      <c r="P80" s="56">
        <v>4</v>
      </c>
      <c r="Q80" s="56">
        <v>-93</v>
      </c>
      <c r="R80" s="57"/>
      <c r="S80" s="93"/>
      <c r="T80" s="21"/>
      <c r="U80" s="69">
        <v>109</v>
      </c>
      <c r="V80" s="69">
        <v>12</v>
      </c>
      <c r="W80" s="16">
        <v>-256</v>
      </c>
      <c r="X80" s="97" t="str">
        <f t="shared" si="3"/>
        <v>TX1047030-01-DB-3</v>
      </c>
      <c r="Y80" s="25"/>
    </row>
    <row r="81" spans="1:25">
      <c r="A81" s="18" t="s">
        <v>87</v>
      </c>
      <c r="B81" s="19">
        <v>25</v>
      </c>
      <c r="C81" s="19">
        <v>189</v>
      </c>
      <c r="D81" s="19">
        <v>164</v>
      </c>
      <c r="E81" s="20">
        <v>10</v>
      </c>
      <c r="F81" s="19"/>
      <c r="G81" s="21"/>
      <c r="H81" s="22">
        <v>0</v>
      </c>
      <c r="I81" s="22">
        <v>-25</v>
      </c>
      <c r="J81" s="23">
        <v>140</v>
      </c>
      <c r="K81" s="91" t="str">
        <f t="shared" si="2"/>
        <v>TX1041562-00-B_02</v>
      </c>
      <c r="L81" s="25"/>
      <c r="M81" s="87"/>
      <c r="N81" s="55" t="s">
        <v>102</v>
      </c>
      <c r="O81" s="56">
        <v>775</v>
      </c>
      <c r="P81" s="56">
        <v>96</v>
      </c>
      <c r="Q81" s="56">
        <v>-679</v>
      </c>
      <c r="R81" s="57"/>
      <c r="S81" s="93"/>
      <c r="T81" s="21"/>
      <c r="U81" s="70">
        <v>760</v>
      </c>
      <c r="V81" s="70">
        <v>-15</v>
      </c>
      <c r="W81" s="71"/>
      <c r="X81" s="97" t="str">
        <f t="shared" si="3"/>
        <v>TX1047030-01-DT-3</v>
      </c>
      <c r="Y81" s="25"/>
    </row>
    <row r="82" spans="1:25">
      <c r="A82" s="26" t="s">
        <v>88</v>
      </c>
      <c r="B82" s="27">
        <v>46</v>
      </c>
      <c r="C82" s="27">
        <v>7</v>
      </c>
      <c r="D82" s="27">
        <v>-39</v>
      </c>
      <c r="E82" s="28"/>
      <c r="F82" s="27"/>
      <c r="G82" s="21"/>
      <c r="H82" s="24">
        <v>24</v>
      </c>
      <c r="I82" s="24">
        <v>-22</v>
      </c>
      <c r="J82" s="29"/>
      <c r="K82" s="91" t="str">
        <f t="shared" si="2"/>
        <v>NO REPORTA VERSION ACTUAL</v>
      </c>
      <c r="L82" s="25"/>
      <c r="M82" s="87"/>
      <c r="N82" s="39" t="s">
        <v>103</v>
      </c>
      <c r="O82" s="40">
        <v>571</v>
      </c>
      <c r="P82" s="40">
        <v>779</v>
      </c>
      <c r="Q82" s="40">
        <v>208</v>
      </c>
      <c r="R82" s="41"/>
      <c r="S82" s="94"/>
      <c r="T82" s="21"/>
      <c r="U82" s="72">
        <v>318</v>
      </c>
      <c r="V82" s="72">
        <v>-253</v>
      </c>
      <c r="W82" s="73"/>
      <c r="X82" s="97" t="str">
        <f t="shared" si="3"/>
        <v>TX1047030-01-DTH-3</v>
      </c>
      <c r="Y82" s="25"/>
    </row>
    <row r="83" spans="1:25">
      <c r="A83" s="26" t="s">
        <v>89</v>
      </c>
      <c r="B83" s="27">
        <v>24</v>
      </c>
      <c r="C83" s="27">
        <v>8</v>
      </c>
      <c r="D83" s="27">
        <v>-16</v>
      </c>
      <c r="E83" s="28"/>
      <c r="F83" s="27"/>
      <c r="G83" s="21"/>
      <c r="H83" s="24">
        <v>18</v>
      </c>
      <c r="I83" s="24">
        <v>-6</v>
      </c>
      <c r="J83" s="29"/>
      <c r="K83" s="91" t="str">
        <f t="shared" si="2"/>
        <v>TX1041562-00-BT-2</v>
      </c>
      <c r="L83" s="25"/>
      <c r="M83" s="87"/>
      <c r="N83" s="26" t="s">
        <v>107</v>
      </c>
      <c r="O83" s="27">
        <v>140</v>
      </c>
      <c r="P83" s="27">
        <v>276</v>
      </c>
      <c r="Q83" s="27">
        <v>136</v>
      </c>
      <c r="R83" s="28">
        <v>78</v>
      </c>
      <c r="S83" s="27"/>
      <c r="T83" s="21"/>
      <c r="U83" s="69">
        <v>86</v>
      </c>
      <c r="V83" s="69">
        <v>-54</v>
      </c>
      <c r="W83" s="16">
        <v>-70</v>
      </c>
      <c r="X83" s="97" t="str">
        <f t="shared" si="3"/>
        <v>TX1048708-02-F_01</v>
      </c>
      <c r="Y83" s="25"/>
    </row>
    <row r="84" spans="1:25">
      <c r="A84" s="30" t="s">
        <v>90</v>
      </c>
      <c r="B84" s="31">
        <v>123</v>
      </c>
      <c r="C84" s="31">
        <v>24</v>
      </c>
      <c r="D84" s="31">
        <v>-99</v>
      </c>
      <c r="E84" s="32"/>
      <c r="F84" s="31"/>
      <c r="G84" s="21"/>
      <c r="H84" s="33">
        <v>316</v>
      </c>
      <c r="I84" s="33">
        <v>193</v>
      </c>
      <c r="J84" s="34"/>
      <c r="K84" s="91" t="str">
        <f t="shared" si="2"/>
        <v>TX1041562-00-BTH-2</v>
      </c>
      <c r="L84" s="64"/>
      <c r="M84" s="89"/>
      <c r="N84" s="26" t="s">
        <v>108</v>
      </c>
      <c r="O84" s="27">
        <v>3</v>
      </c>
      <c r="P84" s="27">
        <v>4</v>
      </c>
      <c r="Q84" s="27">
        <v>1</v>
      </c>
      <c r="R84" s="28"/>
      <c r="S84" s="27"/>
      <c r="T84" s="21"/>
      <c r="U84" s="70">
        <v>3</v>
      </c>
      <c r="V84" s="70">
        <v>0</v>
      </c>
      <c r="W84" s="71"/>
      <c r="X84" s="97" t="str">
        <f t="shared" si="3"/>
        <v>TX1048708-02-FB-1</v>
      </c>
      <c r="Y84" s="64"/>
    </row>
    <row r="85" spans="1:25">
      <c r="A85" s="18" t="s">
        <v>91</v>
      </c>
      <c r="B85" s="19">
        <v>0</v>
      </c>
      <c r="C85" s="19">
        <v>0</v>
      </c>
      <c r="D85" s="19">
        <v>0</v>
      </c>
      <c r="E85" s="20">
        <v>0</v>
      </c>
      <c r="F85" s="19"/>
      <c r="G85" s="21"/>
      <c r="H85" s="22">
        <v>1</v>
      </c>
      <c r="I85" s="22">
        <v>1</v>
      </c>
      <c r="J85" s="23">
        <v>2</v>
      </c>
      <c r="K85" s="91" t="str">
        <f t="shared" si="2"/>
        <v>NO REPORTA VERSION ACTUAL</v>
      </c>
      <c r="L85" s="25"/>
      <c r="M85" s="87"/>
      <c r="N85" s="26" t="s">
        <v>109</v>
      </c>
      <c r="O85" s="27">
        <v>28</v>
      </c>
      <c r="P85" s="27">
        <v>13</v>
      </c>
      <c r="Q85" s="27">
        <v>-15</v>
      </c>
      <c r="R85" s="28"/>
      <c r="S85" s="27"/>
      <c r="T85" s="38"/>
      <c r="U85" s="70">
        <v>30</v>
      </c>
      <c r="V85" s="70">
        <v>2</v>
      </c>
      <c r="W85" s="71"/>
      <c r="X85" s="97" t="str">
        <f t="shared" si="3"/>
        <v>TX1048708-02-FT-1</v>
      </c>
      <c r="Y85" s="25"/>
    </row>
    <row r="86" spans="1:25">
      <c r="A86" s="30" t="s">
        <v>92</v>
      </c>
      <c r="B86" s="31">
        <v>0</v>
      </c>
      <c r="C86" s="31">
        <v>0</v>
      </c>
      <c r="D86" s="31">
        <v>0</v>
      </c>
      <c r="E86" s="32"/>
      <c r="F86" s="31"/>
      <c r="G86" s="21"/>
      <c r="H86" s="33">
        <v>1</v>
      </c>
      <c r="I86" s="33">
        <v>1</v>
      </c>
      <c r="J86" s="34"/>
      <c r="K86" s="91" t="str">
        <f t="shared" si="2"/>
        <v>NO REPORTA VERSION ACTUAL</v>
      </c>
      <c r="L86" s="25"/>
      <c r="M86" s="87"/>
      <c r="N86" s="30" t="s">
        <v>110</v>
      </c>
      <c r="O86" s="31">
        <v>75</v>
      </c>
      <c r="P86" s="31">
        <v>31</v>
      </c>
      <c r="Q86" s="31">
        <v>-44</v>
      </c>
      <c r="R86" s="32"/>
      <c r="S86" s="31"/>
      <c r="T86" s="42"/>
      <c r="U86" s="72">
        <v>57</v>
      </c>
      <c r="V86" s="72">
        <v>-18</v>
      </c>
      <c r="W86" s="73"/>
      <c r="X86" s="97" t="str">
        <f t="shared" si="3"/>
        <v>TX1048708-02-FTH-1</v>
      </c>
      <c r="Y86" s="25"/>
    </row>
    <row r="87" spans="1:25">
      <c r="A87" s="18" t="s">
        <v>93</v>
      </c>
      <c r="B87" s="19">
        <v>0</v>
      </c>
      <c r="C87" s="19">
        <v>0</v>
      </c>
      <c r="D87" s="19">
        <v>0</v>
      </c>
      <c r="E87" s="20">
        <v>0</v>
      </c>
      <c r="F87" s="19"/>
      <c r="G87" s="38"/>
      <c r="H87" s="22">
        <v>2</v>
      </c>
      <c r="I87" s="22">
        <v>2</v>
      </c>
      <c r="J87" s="23">
        <v>4</v>
      </c>
      <c r="K87" s="91" t="str">
        <f t="shared" si="2"/>
        <v>NO REPORTA VERSION ACTUAL</v>
      </c>
      <c r="L87" s="25"/>
      <c r="M87" s="87"/>
      <c r="N87" s="18" t="s">
        <v>111</v>
      </c>
      <c r="O87" s="19">
        <v>18</v>
      </c>
      <c r="P87" s="19">
        <v>446</v>
      </c>
      <c r="Q87" s="19">
        <v>428</v>
      </c>
      <c r="R87" s="20">
        <v>60</v>
      </c>
      <c r="S87" s="19"/>
      <c r="T87" s="21"/>
      <c r="U87" s="69">
        <v>3</v>
      </c>
      <c r="V87" s="69">
        <v>-15</v>
      </c>
      <c r="W87" s="16">
        <v>23</v>
      </c>
      <c r="X87" s="97" t="str">
        <f t="shared" si="3"/>
        <v>TX1049219-01-C_02</v>
      </c>
      <c r="Y87" s="25"/>
    </row>
    <row r="88" spans="1:25">
      <c r="A88" s="30" t="s">
        <v>94</v>
      </c>
      <c r="B88" s="31">
        <v>0</v>
      </c>
      <c r="C88" s="31">
        <v>0</v>
      </c>
      <c r="D88" s="31">
        <v>0</v>
      </c>
      <c r="E88" s="32"/>
      <c r="F88" s="31"/>
      <c r="G88" s="42"/>
      <c r="H88" s="33">
        <v>2</v>
      </c>
      <c r="I88" s="33">
        <v>2</v>
      </c>
      <c r="J88" s="34"/>
      <c r="K88" s="91" t="str">
        <f t="shared" si="2"/>
        <v>NO REPORTA VERSION ACTUAL</v>
      </c>
      <c r="L88" s="25"/>
      <c r="M88" s="87"/>
      <c r="N88" s="26" t="s">
        <v>112</v>
      </c>
      <c r="O88" s="27">
        <v>372</v>
      </c>
      <c r="P88" s="27">
        <v>4</v>
      </c>
      <c r="Q88" s="27">
        <v>-368</v>
      </c>
      <c r="R88" s="28"/>
      <c r="S88" s="27"/>
      <c r="T88" s="21"/>
      <c r="U88" s="70">
        <v>407</v>
      </c>
      <c r="V88" s="70">
        <v>35</v>
      </c>
      <c r="W88" s="71"/>
      <c r="X88" s="97" t="str">
        <f t="shared" si="3"/>
        <v>TX1049219-01-CB-2</v>
      </c>
      <c r="Y88" s="25"/>
    </row>
    <row r="89" spans="1:25">
      <c r="A89" s="35" t="s">
        <v>95</v>
      </c>
      <c r="B89" s="36">
        <v>12</v>
      </c>
      <c r="C89" s="36">
        <v>205</v>
      </c>
      <c r="D89" s="36">
        <v>193</v>
      </c>
      <c r="E89" s="37">
        <v>1233</v>
      </c>
      <c r="F89" s="36"/>
      <c r="G89" s="21"/>
      <c r="H89" s="36">
        <v>2</v>
      </c>
      <c r="I89" s="36">
        <v>-10</v>
      </c>
      <c r="J89" s="37">
        <v>1977</v>
      </c>
      <c r="K89" s="91" t="str">
        <f t="shared" si="2"/>
        <v>TX1045483-00-J_01</v>
      </c>
      <c r="L89" s="25"/>
      <c r="M89" s="87"/>
      <c r="N89" s="30" t="s">
        <v>113</v>
      </c>
      <c r="O89" s="31">
        <v>0</v>
      </c>
      <c r="P89" s="31">
        <v>0</v>
      </c>
      <c r="Q89" s="31">
        <v>0</v>
      </c>
      <c r="R89" s="32"/>
      <c r="S89" s="31"/>
      <c r="T89" s="21"/>
      <c r="U89" s="72">
        <v>3</v>
      </c>
      <c r="V89" s="72">
        <v>3</v>
      </c>
      <c r="W89" s="73"/>
      <c r="X89" s="97" t="str">
        <f t="shared" si="3"/>
        <v>TX1049219-01-CT-2</v>
      </c>
      <c r="Y89" s="25"/>
    </row>
    <row r="90" spans="1:25">
      <c r="A90" s="55" t="s">
        <v>96</v>
      </c>
      <c r="B90" s="56">
        <v>0</v>
      </c>
      <c r="C90" s="56">
        <v>223</v>
      </c>
      <c r="D90" s="56">
        <v>223</v>
      </c>
      <c r="E90" s="57"/>
      <c r="F90" s="56"/>
      <c r="G90" s="21"/>
      <c r="H90" s="56">
        <v>147</v>
      </c>
      <c r="I90" s="56">
        <v>147</v>
      </c>
      <c r="J90" s="57"/>
      <c r="K90" s="91" t="str">
        <f t="shared" si="2"/>
        <v>TX1045483-00-JB-1</v>
      </c>
      <c r="L90" s="25"/>
      <c r="M90" s="87"/>
      <c r="N90" s="43" t="s">
        <v>117</v>
      </c>
      <c r="O90" s="44">
        <v>158</v>
      </c>
      <c r="P90" s="44">
        <v>584</v>
      </c>
      <c r="Q90" s="44">
        <v>426</v>
      </c>
      <c r="R90" s="45">
        <v>146</v>
      </c>
      <c r="S90" s="44"/>
      <c r="T90" s="21"/>
      <c r="U90" s="69">
        <v>188</v>
      </c>
      <c r="V90" s="69">
        <v>30</v>
      </c>
      <c r="W90" s="16">
        <v>-235</v>
      </c>
      <c r="X90" s="97" t="str">
        <f t="shared" si="3"/>
        <v>TX1049371-01-D_01</v>
      </c>
      <c r="Y90" s="25"/>
    </row>
    <row r="91" spans="1:25">
      <c r="A91" s="55" t="s">
        <v>97</v>
      </c>
      <c r="B91" s="56">
        <v>32</v>
      </c>
      <c r="C91" s="56">
        <v>69</v>
      </c>
      <c r="D91" s="56">
        <v>37</v>
      </c>
      <c r="E91" s="57"/>
      <c r="F91" s="56"/>
      <c r="G91" s="21"/>
      <c r="H91" s="56">
        <v>1615</v>
      </c>
      <c r="I91" s="56">
        <v>1583</v>
      </c>
      <c r="J91" s="57"/>
      <c r="K91" s="91" t="str">
        <f t="shared" si="2"/>
        <v>TX1045483-00-JT-1</v>
      </c>
      <c r="L91" s="25"/>
      <c r="M91" s="87"/>
      <c r="N91" s="46" t="s">
        <v>118</v>
      </c>
      <c r="O91" s="47">
        <v>185</v>
      </c>
      <c r="P91" s="47">
        <v>54</v>
      </c>
      <c r="Q91" s="47">
        <v>-131</v>
      </c>
      <c r="R91" s="48"/>
      <c r="S91" s="47"/>
      <c r="T91" s="21"/>
      <c r="U91" s="70">
        <v>162</v>
      </c>
      <c r="V91" s="70">
        <v>-23</v>
      </c>
      <c r="W91" s="71"/>
      <c r="X91" s="97" t="str">
        <f t="shared" si="3"/>
        <v>TX1049371-01-DT-1</v>
      </c>
      <c r="Y91" s="25"/>
    </row>
    <row r="92" spans="1:25">
      <c r="A92" s="39" t="s">
        <v>98</v>
      </c>
      <c r="B92" s="40">
        <v>40</v>
      </c>
      <c r="C92" s="40">
        <v>820</v>
      </c>
      <c r="D92" s="40">
        <v>780</v>
      </c>
      <c r="E92" s="41"/>
      <c r="F92" s="40"/>
      <c r="G92" s="21"/>
      <c r="H92" s="40">
        <v>297</v>
      </c>
      <c r="I92" s="40">
        <v>257</v>
      </c>
      <c r="J92" s="41"/>
      <c r="K92" s="91" t="str">
        <f t="shared" si="2"/>
        <v>TX1045483-00-JTH-1</v>
      </c>
      <c r="L92" s="25"/>
      <c r="M92" s="87"/>
      <c r="N92" s="49" t="s">
        <v>119</v>
      </c>
      <c r="O92" s="50">
        <v>342</v>
      </c>
      <c r="P92" s="50">
        <v>193</v>
      </c>
      <c r="Q92" s="50">
        <v>-149</v>
      </c>
      <c r="R92" s="51"/>
      <c r="S92" s="50"/>
      <c r="T92" s="21"/>
      <c r="U92" s="72">
        <v>100</v>
      </c>
      <c r="V92" s="72">
        <v>-242</v>
      </c>
      <c r="W92" s="73"/>
      <c r="X92" s="97" t="str">
        <f t="shared" si="3"/>
        <v>TX1049371-01-DTH-1</v>
      </c>
      <c r="Y92" s="25"/>
    </row>
    <row r="93" spans="1:25">
      <c r="A93" s="18" t="s">
        <v>99</v>
      </c>
      <c r="B93" s="19">
        <v>31</v>
      </c>
      <c r="C93" s="19">
        <v>17</v>
      </c>
      <c r="D93" s="19">
        <v>-14</v>
      </c>
      <c r="E93" s="20">
        <v>-14</v>
      </c>
      <c r="F93" s="19"/>
      <c r="G93" s="21"/>
      <c r="H93" s="36">
        <v>0</v>
      </c>
      <c r="I93" s="36">
        <v>-31</v>
      </c>
      <c r="J93" s="37">
        <v>1171</v>
      </c>
      <c r="K93" s="91" t="str">
        <f t="shared" si="2"/>
        <v>TX1045490-00-G_01</v>
      </c>
      <c r="L93" s="25"/>
      <c r="M93" s="87"/>
      <c r="N93" s="18" t="s">
        <v>120</v>
      </c>
      <c r="O93" s="19">
        <v>293</v>
      </c>
      <c r="P93" s="19">
        <v>643</v>
      </c>
      <c r="Q93" s="19">
        <v>350</v>
      </c>
      <c r="R93" s="20">
        <v>1</v>
      </c>
      <c r="S93" s="19"/>
      <c r="T93" s="21"/>
      <c r="U93" s="69">
        <v>279</v>
      </c>
      <c r="V93" s="69">
        <v>-14</v>
      </c>
      <c r="W93" s="16">
        <v>-45</v>
      </c>
      <c r="X93" s="97" t="str">
        <f t="shared" si="3"/>
        <v>TX1049371-05-D_01</v>
      </c>
      <c r="Y93" s="25"/>
    </row>
    <row r="94" spans="1:25">
      <c r="A94" s="26" t="s">
        <v>100</v>
      </c>
      <c r="B94" s="27">
        <v>17</v>
      </c>
      <c r="C94" s="27">
        <v>581</v>
      </c>
      <c r="D94" s="27">
        <v>564</v>
      </c>
      <c r="E94" s="28"/>
      <c r="F94" s="27"/>
      <c r="G94" s="21"/>
      <c r="H94" s="56">
        <v>0</v>
      </c>
      <c r="I94" s="56">
        <v>-17</v>
      </c>
      <c r="J94" s="57"/>
      <c r="K94" s="91" t="str">
        <f t="shared" si="2"/>
        <v>NO REPORTA VERSION ACTUAL</v>
      </c>
      <c r="L94" s="25"/>
      <c r="M94" s="87"/>
      <c r="N94" s="26" t="s">
        <v>185</v>
      </c>
      <c r="O94" s="27">
        <v>0</v>
      </c>
      <c r="P94" s="27">
        <v>12</v>
      </c>
      <c r="Q94" s="27">
        <v>12</v>
      </c>
      <c r="R94" s="28"/>
      <c r="S94" s="27"/>
      <c r="T94" s="21"/>
      <c r="U94" s="70">
        <v>1</v>
      </c>
      <c r="V94" s="70">
        <v>1</v>
      </c>
      <c r="W94" s="71"/>
      <c r="X94" s="97" t="str">
        <f t="shared" si="3"/>
        <v>NO REPORTA VERSION ANTERIOR</v>
      </c>
      <c r="Y94" s="25"/>
    </row>
    <row r="95" spans="1:25">
      <c r="A95" s="26" t="s">
        <v>101</v>
      </c>
      <c r="B95" s="27">
        <v>97</v>
      </c>
      <c r="C95" s="27">
        <v>4</v>
      </c>
      <c r="D95" s="27">
        <v>-93</v>
      </c>
      <c r="E95" s="28"/>
      <c r="F95" s="27"/>
      <c r="G95" s="21"/>
      <c r="H95" s="56">
        <v>225</v>
      </c>
      <c r="I95" s="56">
        <v>128</v>
      </c>
      <c r="J95" s="57"/>
      <c r="K95" s="91" t="str">
        <f t="shared" si="2"/>
        <v>TX1047030-01-DB-3</v>
      </c>
      <c r="L95" s="25"/>
      <c r="M95" s="87"/>
      <c r="N95" s="30" t="s">
        <v>121</v>
      </c>
      <c r="O95" s="31">
        <v>361</v>
      </c>
      <c r="P95" s="31">
        <v>0</v>
      </c>
      <c r="Q95" s="31">
        <v>-361</v>
      </c>
      <c r="R95" s="32"/>
      <c r="S95" s="31"/>
      <c r="T95" s="21"/>
      <c r="U95" s="72">
        <v>329</v>
      </c>
      <c r="V95" s="72">
        <v>-32</v>
      </c>
      <c r="W95" s="73"/>
      <c r="X95" s="97" t="str">
        <f t="shared" si="3"/>
        <v>TX1049371-05-DTH-1</v>
      </c>
      <c r="Y95" s="25"/>
    </row>
    <row r="96" spans="1:25">
      <c r="A96" s="26" t="s">
        <v>102</v>
      </c>
      <c r="B96" s="27">
        <v>775</v>
      </c>
      <c r="C96" s="27">
        <v>96</v>
      </c>
      <c r="D96" s="27">
        <v>-679</v>
      </c>
      <c r="E96" s="28"/>
      <c r="F96" s="27"/>
      <c r="G96" s="21"/>
      <c r="H96" s="56">
        <v>1536</v>
      </c>
      <c r="I96" s="56">
        <v>761</v>
      </c>
      <c r="J96" s="57"/>
      <c r="K96" s="91" t="str">
        <f t="shared" si="2"/>
        <v>TX1047030-01-DT-3</v>
      </c>
      <c r="L96" s="25"/>
      <c r="M96" s="87"/>
      <c r="N96" s="43" t="s">
        <v>123</v>
      </c>
      <c r="O96" s="44">
        <v>31</v>
      </c>
      <c r="P96" s="44">
        <v>66</v>
      </c>
      <c r="Q96" s="44">
        <v>35</v>
      </c>
      <c r="R96" s="45">
        <v>34</v>
      </c>
      <c r="S96" s="44"/>
      <c r="T96" s="21"/>
      <c r="U96" s="69">
        <v>45</v>
      </c>
      <c r="V96" s="69">
        <v>14</v>
      </c>
      <c r="W96" s="16">
        <v>15</v>
      </c>
      <c r="X96" s="97" t="str">
        <f t="shared" si="3"/>
        <v>TX1049371-08-D_01</v>
      </c>
      <c r="Y96" s="25"/>
    </row>
    <row r="97" spans="1:25">
      <c r="A97" s="30" t="s">
        <v>103</v>
      </c>
      <c r="B97" s="31">
        <v>571</v>
      </c>
      <c r="C97" s="31">
        <v>779</v>
      </c>
      <c r="D97" s="31">
        <v>208</v>
      </c>
      <c r="E97" s="32"/>
      <c r="F97" s="31"/>
      <c r="G97" s="21"/>
      <c r="H97" s="40">
        <v>901</v>
      </c>
      <c r="I97" s="40">
        <v>330</v>
      </c>
      <c r="J97" s="41"/>
      <c r="K97" s="91" t="str">
        <f t="shared" si="2"/>
        <v>TX1047030-01-DTH-3</v>
      </c>
      <c r="L97" s="25"/>
      <c r="M97" s="87"/>
      <c r="N97" s="49" t="s">
        <v>124</v>
      </c>
      <c r="O97" s="50">
        <v>1</v>
      </c>
      <c r="P97" s="50">
        <v>0</v>
      </c>
      <c r="Q97" s="50">
        <v>-1</v>
      </c>
      <c r="R97" s="51"/>
      <c r="S97" s="50"/>
      <c r="T97" s="21"/>
      <c r="U97" s="72">
        <v>2</v>
      </c>
      <c r="V97" s="72">
        <v>1</v>
      </c>
      <c r="W97" s="73"/>
      <c r="X97" s="97" t="str">
        <f t="shared" si="3"/>
        <v>TX1049371-08-DTH-1</v>
      </c>
      <c r="Y97" s="25"/>
    </row>
    <row r="98" spans="1:25">
      <c r="A98" s="18" t="s">
        <v>104</v>
      </c>
      <c r="B98" s="19">
        <v>0</v>
      </c>
      <c r="C98" s="19">
        <v>0</v>
      </c>
      <c r="D98" s="19">
        <v>0</v>
      </c>
      <c r="E98" s="20">
        <v>2</v>
      </c>
      <c r="F98" s="19"/>
      <c r="G98" s="21"/>
      <c r="H98" s="22">
        <v>30</v>
      </c>
      <c r="I98" s="22">
        <v>30</v>
      </c>
      <c r="J98" s="23">
        <v>60</v>
      </c>
      <c r="K98" s="91" t="str">
        <f t="shared" si="2"/>
        <v>NO REPORTA VERSION ACTUAL</v>
      </c>
      <c r="L98" s="25"/>
      <c r="M98" s="87"/>
      <c r="N98" s="35" t="s">
        <v>125</v>
      </c>
      <c r="O98" s="36">
        <v>71</v>
      </c>
      <c r="P98" s="36">
        <v>78</v>
      </c>
      <c r="Q98" s="36">
        <v>7</v>
      </c>
      <c r="R98" s="37">
        <v>-482</v>
      </c>
      <c r="S98" s="36"/>
      <c r="T98" s="21"/>
      <c r="U98" s="77">
        <v>5261</v>
      </c>
      <c r="V98" s="77">
        <v>5190</v>
      </c>
      <c r="W98" s="78">
        <v>5178</v>
      </c>
      <c r="X98" s="97" t="str">
        <f t="shared" si="3"/>
        <v>TX1049524-01-D_01</v>
      </c>
      <c r="Y98" s="25"/>
    </row>
    <row r="99" spans="1:25">
      <c r="A99" s="26" t="s">
        <v>105</v>
      </c>
      <c r="B99" s="27">
        <v>0</v>
      </c>
      <c r="C99" s="27">
        <v>0</v>
      </c>
      <c r="D99" s="27">
        <v>0</v>
      </c>
      <c r="E99" s="28"/>
      <c r="F99" s="27"/>
      <c r="G99" s="21"/>
      <c r="H99" s="24">
        <v>2</v>
      </c>
      <c r="I99" s="24">
        <v>2</v>
      </c>
      <c r="J99" s="29"/>
      <c r="K99" s="91" t="str">
        <f t="shared" si="2"/>
        <v>NO REPORTA VERSION ACTUAL</v>
      </c>
      <c r="L99" s="25"/>
      <c r="M99" s="87"/>
      <c r="N99" s="39" t="s">
        <v>126</v>
      </c>
      <c r="O99" s="40">
        <v>498</v>
      </c>
      <c r="P99" s="40">
        <v>9</v>
      </c>
      <c r="Q99" s="40">
        <v>-489</v>
      </c>
      <c r="R99" s="41"/>
      <c r="S99" s="40"/>
      <c r="T99" s="21"/>
      <c r="U99" s="81">
        <v>486</v>
      </c>
      <c r="V99" s="81">
        <v>-12</v>
      </c>
      <c r="W99" s="82"/>
      <c r="X99" s="97" t="str">
        <f t="shared" si="3"/>
        <v>TX1049524-01-DT-1</v>
      </c>
      <c r="Y99" s="25"/>
    </row>
    <row r="100" spans="1:25">
      <c r="A100" s="30" t="s">
        <v>106</v>
      </c>
      <c r="B100" s="31">
        <v>0</v>
      </c>
      <c r="C100" s="31">
        <v>2</v>
      </c>
      <c r="D100" s="31">
        <v>2</v>
      </c>
      <c r="E100" s="32"/>
      <c r="F100" s="31"/>
      <c r="G100" s="21"/>
      <c r="H100" s="33">
        <v>28</v>
      </c>
      <c r="I100" s="33">
        <v>28</v>
      </c>
      <c r="J100" s="34"/>
      <c r="K100" s="91" t="str">
        <f t="shared" si="2"/>
        <v>NO REPORTA VERSION ACTUAL</v>
      </c>
      <c r="L100" s="25"/>
      <c r="M100" s="87"/>
      <c r="N100" s="43" t="s">
        <v>128</v>
      </c>
      <c r="O100" s="44">
        <v>29</v>
      </c>
      <c r="P100" s="44">
        <v>61</v>
      </c>
      <c r="Q100" s="44">
        <v>32</v>
      </c>
      <c r="R100" s="45">
        <v>-35</v>
      </c>
      <c r="S100" s="44"/>
      <c r="T100" s="21"/>
      <c r="U100" s="69">
        <v>784</v>
      </c>
      <c r="V100" s="69">
        <v>755</v>
      </c>
      <c r="W100" s="16">
        <v>732</v>
      </c>
      <c r="X100" s="97" t="str">
        <f t="shared" si="3"/>
        <v>TX1050951-00-A_01</v>
      </c>
      <c r="Y100" s="25"/>
    </row>
    <row r="101" spans="1:25">
      <c r="A101" s="18" t="s">
        <v>107</v>
      </c>
      <c r="B101" s="19">
        <v>140</v>
      </c>
      <c r="C101" s="19">
        <v>276</v>
      </c>
      <c r="D101" s="19">
        <v>136</v>
      </c>
      <c r="E101" s="20">
        <v>78</v>
      </c>
      <c r="F101" s="19"/>
      <c r="G101" s="21"/>
      <c r="H101" s="22">
        <v>0</v>
      </c>
      <c r="I101" s="22">
        <v>-140</v>
      </c>
      <c r="J101" s="23">
        <v>-246</v>
      </c>
      <c r="K101" s="91" t="str">
        <f t="shared" si="2"/>
        <v>TX1048708-02-F_01</v>
      </c>
      <c r="L101" s="25"/>
      <c r="M101" s="87"/>
      <c r="N101" s="46" t="s">
        <v>129</v>
      </c>
      <c r="O101" s="47">
        <v>0</v>
      </c>
      <c r="P101" s="47">
        <v>3</v>
      </c>
      <c r="Q101" s="47">
        <v>3</v>
      </c>
      <c r="R101" s="48"/>
      <c r="S101" s="47"/>
      <c r="T101" s="21"/>
      <c r="U101" s="70">
        <v>6</v>
      </c>
      <c r="V101" s="70">
        <v>6</v>
      </c>
      <c r="W101" s="71"/>
      <c r="X101" s="97" t="str">
        <f t="shared" si="3"/>
        <v>TX1050951-00-AT-1</v>
      </c>
      <c r="Y101" s="25"/>
    </row>
    <row r="102" spans="1:25">
      <c r="A102" s="26" t="s">
        <v>108</v>
      </c>
      <c r="B102" s="27">
        <v>3</v>
      </c>
      <c r="C102" s="27">
        <v>4</v>
      </c>
      <c r="D102" s="27">
        <v>1</v>
      </c>
      <c r="E102" s="28"/>
      <c r="F102" s="27"/>
      <c r="G102" s="38"/>
      <c r="H102" s="24">
        <v>0</v>
      </c>
      <c r="I102" s="24">
        <v>-3</v>
      </c>
      <c r="J102" s="29"/>
      <c r="K102" s="91" t="str">
        <f t="shared" si="2"/>
        <v>TX1048708-02-FB-1</v>
      </c>
      <c r="L102" s="25"/>
      <c r="M102" s="87"/>
      <c r="N102" s="49" t="s">
        <v>130</v>
      </c>
      <c r="O102" s="50">
        <v>75</v>
      </c>
      <c r="P102" s="50">
        <v>5</v>
      </c>
      <c r="Q102" s="50">
        <v>-70</v>
      </c>
      <c r="R102" s="51"/>
      <c r="S102" s="50"/>
      <c r="T102" s="21"/>
      <c r="U102" s="72">
        <v>46</v>
      </c>
      <c r="V102" s="72">
        <v>-29</v>
      </c>
      <c r="W102" s="73"/>
      <c r="X102" s="97" t="str">
        <f t="shared" si="3"/>
        <v>TX1050951-00-ATH-1</v>
      </c>
      <c r="Y102" s="25"/>
    </row>
    <row r="103" spans="1:25">
      <c r="A103" s="26" t="s">
        <v>109</v>
      </c>
      <c r="B103" s="27">
        <v>28</v>
      </c>
      <c r="C103" s="27">
        <v>13</v>
      </c>
      <c r="D103" s="27">
        <v>-15</v>
      </c>
      <c r="E103" s="28"/>
      <c r="F103" s="27"/>
      <c r="G103" s="42"/>
      <c r="H103" s="24">
        <v>0</v>
      </c>
      <c r="I103" s="24">
        <v>-28</v>
      </c>
      <c r="J103" s="29"/>
      <c r="K103" s="91" t="str">
        <f t="shared" si="2"/>
        <v>TX1048708-02-FT-1</v>
      </c>
      <c r="L103" s="25"/>
      <c r="M103" s="87"/>
      <c r="N103" s="43" t="s">
        <v>131</v>
      </c>
      <c r="O103" s="44">
        <v>4</v>
      </c>
      <c r="P103" s="44">
        <v>60</v>
      </c>
      <c r="Q103" s="44">
        <v>56</v>
      </c>
      <c r="R103" s="45">
        <v>93</v>
      </c>
      <c r="S103" s="44"/>
      <c r="T103" s="21"/>
      <c r="U103" s="77">
        <v>7228</v>
      </c>
      <c r="V103" s="77">
        <v>7224</v>
      </c>
      <c r="W103" s="78">
        <v>7244</v>
      </c>
      <c r="X103" s="97" t="str">
        <f t="shared" si="3"/>
        <v>TX1051035-01-C_01</v>
      </c>
      <c r="Y103" s="25"/>
    </row>
    <row r="104" spans="1:25">
      <c r="A104" s="30" t="s">
        <v>110</v>
      </c>
      <c r="B104" s="31">
        <v>75</v>
      </c>
      <c r="C104" s="31">
        <v>31</v>
      </c>
      <c r="D104" s="31">
        <v>-44</v>
      </c>
      <c r="E104" s="32"/>
      <c r="F104" s="31"/>
      <c r="G104" s="42"/>
      <c r="H104" s="33">
        <v>0</v>
      </c>
      <c r="I104" s="33">
        <v>-75</v>
      </c>
      <c r="J104" s="34"/>
      <c r="K104" s="91" t="str">
        <f t="shared" si="2"/>
        <v>TX1048708-02-FTH-1</v>
      </c>
      <c r="L104" s="25"/>
      <c r="M104" s="87"/>
      <c r="N104" s="46" t="s">
        <v>132</v>
      </c>
      <c r="O104" s="47">
        <v>64</v>
      </c>
      <c r="P104" s="47">
        <v>14</v>
      </c>
      <c r="Q104" s="47">
        <v>-50</v>
      </c>
      <c r="R104" s="48"/>
      <c r="S104" s="47"/>
      <c r="T104" s="38"/>
      <c r="U104" s="79">
        <v>74</v>
      </c>
      <c r="V104" s="79">
        <v>10</v>
      </c>
      <c r="W104" s="80"/>
      <c r="X104" s="97" t="str">
        <f t="shared" si="3"/>
        <v>TX1051035-01-CB-1</v>
      </c>
      <c r="Y104" s="25"/>
    </row>
    <row r="105" spans="1:25">
      <c r="A105" s="18" t="s">
        <v>111</v>
      </c>
      <c r="B105" s="19">
        <v>18</v>
      </c>
      <c r="C105" s="19">
        <v>446</v>
      </c>
      <c r="D105" s="19">
        <v>428</v>
      </c>
      <c r="E105" s="20">
        <v>71</v>
      </c>
      <c r="F105" s="19"/>
      <c r="G105" s="38"/>
      <c r="H105" s="22">
        <v>0</v>
      </c>
      <c r="I105" s="22">
        <v>-18</v>
      </c>
      <c r="J105" s="23">
        <v>465</v>
      </c>
      <c r="K105" s="91" t="str">
        <f t="shared" si="2"/>
        <v>TX1049219-01-C_02</v>
      </c>
      <c r="L105" s="25"/>
      <c r="M105" s="87"/>
      <c r="N105" s="46" t="s">
        <v>133</v>
      </c>
      <c r="O105" s="47">
        <v>4</v>
      </c>
      <c r="P105" s="47">
        <v>78</v>
      </c>
      <c r="Q105" s="47">
        <v>74</v>
      </c>
      <c r="R105" s="48"/>
      <c r="S105" s="47"/>
      <c r="T105" s="42"/>
      <c r="U105" s="79">
        <v>10</v>
      </c>
      <c r="V105" s="79">
        <v>6</v>
      </c>
      <c r="W105" s="80"/>
      <c r="X105" s="97" t="str">
        <f t="shared" si="3"/>
        <v>TX1051035-01-CT-1</v>
      </c>
      <c r="Y105" s="25"/>
    </row>
    <row r="106" spans="1:25">
      <c r="A106" s="26" t="s">
        <v>112</v>
      </c>
      <c r="B106" s="27">
        <v>372</v>
      </c>
      <c r="C106" s="27">
        <v>4</v>
      </c>
      <c r="D106" s="27">
        <v>-368</v>
      </c>
      <c r="E106" s="28"/>
      <c r="F106" s="27"/>
      <c r="G106" s="2"/>
      <c r="H106" s="24">
        <v>35</v>
      </c>
      <c r="I106" s="24">
        <v>-337</v>
      </c>
      <c r="J106" s="29"/>
      <c r="K106" s="91" t="str">
        <f t="shared" si="2"/>
        <v>TX1049219-01-CB-2</v>
      </c>
      <c r="L106" s="25"/>
      <c r="M106" s="87"/>
      <c r="N106" s="49" t="s">
        <v>134</v>
      </c>
      <c r="O106" s="50">
        <v>3</v>
      </c>
      <c r="P106" s="50">
        <v>16</v>
      </c>
      <c r="Q106" s="50">
        <v>13</v>
      </c>
      <c r="R106" s="51"/>
      <c r="S106" s="50"/>
      <c r="T106" s="21"/>
      <c r="U106" s="81">
        <v>7</v>
      </c>
      <c r="V106" s="81">
        <v>4</v>
      </c>
      <c r="W106" s="82"/>
      <c r="X106" s="97" t="str">
        <f t="shared" si="3"/>
        <v>TX1051035-01-CTH-1</v>
      </c>
      <c r="Y106" s="25"/>
    </row>
    <row r="107" spans="1:25">
      <c r="A107" s="26" t="s">
        <v>113</v>
      </c>
      <c r="B107" s="27">
        <v>0</v>
      </c>
      <c r="C107" s="27">
        <v>0</v>
      </c>
      <c r="D107" s="27">
        <v>0</v>
      </c>
      <c r="E107" s="28"/>
      <c r="F107" s="27"/>
      <c r="G107" s="2"/>
      <c r="H107" s="24">
        <v>7</v>
      </c>
      <c r="I107" s="24">
        <v>7</v>
      </c>
      <c r="J107" s="29"/>
      <c r="K107" s="91" t="str">
        <f t="shared" si="2"/>
        <v>TX1049219-01-CT-2</v>
      </c>
      <c r="L107" s="25"/>
      <c r="M107" s="87"/>
      <c r="N107" s="18" t="s">
        <v>135</v>
      </c>
      <c r="O107" s="19">
        <v>22</v>
      </c>
      <c r="P107" s="19">
        <v>59</v>
      </c>
      <c r="Q107" s="19">
        <v>37</v>
      </c>
      <c r="R107" s="20">
        <v>3</v>
      </c>
      <c r="S107" s="19"/>
      <c r="T107" s="21"/>
      <c r="U107" s="69">
        <v>569</v>
      </c>
      <c r="V107" s="69">
        <v>547</v>
      </c>
      <c r="W107" s="16">
        <v>546</v>
      </c>
      <c r="X107" s="97" t="str">
        <f t="shared" si="3"/>
        <v>TX1054968-01-B_01</v>
      </c>
      <c r="Y107" s="25"/>
    </row>
    <row r="108" spans="1:25">
      <c r="A108" s="30" t="s">
        <v>114</v>
      </c>
      <c r="B108" s="31">
        <v>0</v>
      </c>
      <c r="C108" s="31">
        <v>11</v>
      </c>
      <c r="D108" s="31">
        <v>11</v>
      </c>
      <c r="E108" s="32"/>
      <c r="F108" s="31"/>
      <c r="G108" s="42"/>
      <c r="H108" s="33">
        <v>813</v>
      </c>
      <c r="I108" s="33">
        <v>813</v>
      </c>
      <c r="J108" s="34"/>
      <c r="K108" s="91" t="str">
        <f t="shared" si="2"/>
        <v>NO REPORTA VERSION ACTUAL</v>
      </c>
      <c r="L108" s="25"/>
      <c r="M108" s="87"/>
      <c r="N108" s="26" t="s">
        <v>136</v>
      </c>
      <c r="O108" s="27">
        <v>0</v>
      </c>
      <c r="P108" s="27">
        <v>0</v>
      </c>
      <c r="Q108" s="27">
        <v>0</v>
      </c>
      <c r="R108" s="28"/>
      <c r="S108" s="27"/>
      <c r="T108" s="21"/>
      <c r="U108" s="70">
        <v>11</v>
      </c>
      <c r="V108" s="70">
        <v>11</v>
      </c>
      <c r="W108" s="71"/>
      <c r="X108" s="97" t="str">
        <f t="shared" si="3"/>
        <v>TX1054968-01-BB-1</v>
      </c>
      <c r="Y108" s="25"/>
    </row>
    <row r="109" spans="1:25">
      <c r="A109" s="18" t="s">
        <v>115</v>
      </c>
      <c r="B109" s="19">
        <v>45</v>
      </c>
      <c r="C109" s="19">
        <v>41</v>
      </c>
      <c r="D109" s="19">
        <v>-4</v>
      </c>
      <c r="E109" s="20">
        <v>-4</v>
      </c>
      <c r="F109" s="19"/>
      <c r="G109" s="38"/>
      <c r="H109" s="22">
        <v>0</v>
      </c>
      <c r="I109" s="22">
        <v>-45</v>
      </c>
      <c r="J109" s="23">
        <v>-4</v>
      </c>
      <c r="K109" s="91" t="str">
        <f t="shared" si="2"/>
        <v>NO REPORTA VERSION ACTUAL</v>
      </c>
      <c r="L109" s="25"/>
      <c r="M109" s="87"/>
      <c r="N109" s="26" t="s">
        <v>137</v>
      </c>
      <c r="O109" s="27">
        <v>0</v>
      </c>
      <c r="P109" s="27">
        <v>0</v>
      </c>
      <c r="Q109" s="27">
        <v>0</v>
      </c>
      <c r="R109" s="28"/>
      <c r="S109" s="27"/>
      <c r="T109" s="21"/>
      <c r="U109" s="70">
        <v>5</v>
      </c>
      <c r="V109" s="70">
        <v>5</v>
      </c>
      <c r="W109" s="71"/>
      <c r="X109" s="97" t="str">
        <f t="shared" si="3"/>
        <v>TX1054968-01-BT-1</v>
      </c>
      <c r="Y109" s="25"/>
    </row>
    <row r="110" spans="1:25">
      <c r="A110" s="30" t="s">
        <v>116</v>
      </c>
      <c r="B110" s="31">
        <v>0</v>
      </c>
      <c r="C110" s="31">
        <v>0</v>
      </c>
      <c r="D110" s="31">
        <v>0</v>
      </c>
      <c r="E110" s="32"/>
      <c r="F110" s="31"/>
      <c r="G110" s="42"/>
      <c r="H110" s="33">
        <v>41</v>
      </c>
      <c r="I110" s="33">
        <v>41</v>
      </c>
      <c r="J110" s="34"/>
      <c r="K110" s="91" t="str">
        <f t="shared" si="2"/>
        <v>NO REPORTA VERSION ACTUAL</v>
      </c>
      <c r="L110" s="25"/>
      <c r="M110" s="87"/>
      <c r="N110" s="30" t="s">
        <v>138</v>
      </c>
      <c r="O110" s="31">
        <v>40</v>
      </c>
      <c r="P110" s="31">
        <v>6</v>
      </c>
      <c r="Q110" s="31">
        <v>-34</v>
      </c>
      <c r="R110" s="32"/>
      <c r="S110" s="31"/>
      <c r="T110" s="21"/>
      <c r="U110" s="72">
        <v>23</v>
      </c>
      <c r="V110" s="72">
        <v>-17</v>
      </c>
      <c r="W110" s="73"/>
      <c r="X110" s="97" t="str">
        <f t="shared" si="3"/>
        <v>TX1054968-01-BTH-1</v>
      </c>
      <c r="Y110" s="25"/>
    </row>
    <row r="111" spans="1:25">
      <c r="A111" s="43" t="s">
        <v>117</v>
      </c>
      <c r="B111" s="44">
        <v>158</v>
      </c>
      <c r="C111" s="44">
        <v>584</v>
      </c>
      <c r="D111" s="44">
        <v>426</v>
      </c>
      <c r="E111" s="45">
        <v>146</v>
      </c>
      <c r="F111" s="44"/>
      <c r="G111" s="38"/>
      <c r="H111" s="22">
        <v>0</v>
      </c>
      <c r="I111" s="22">
        <v>-158</v>
      </c>
      <c r="J111" s="23">
        <v>542</v>
      </c>
      <c r="K111" s="91" t="str">
        <f t="shared" si="2"/>
        <v>TX1049371-01-D_01</v>
      </c>
      <c r="L111" s="25"/>
      <c r="M111" s="87"/>
      <c r="N111" s="43" t="s">
        <v>139</v>
      </c>
      <c r="O111" s="44">
        <v>6</v>
      </c>
      <c r="P111" s="44">
        <v>38</v>
      </c>
      <c r="Q111" s="44">
        <v>32</v>
      </c>
      <c r="R111" s="45">
        <v>29</v>
      </c>
      <c r="S111" s="44"/>
      <c r="T111" s="21"/>
      <c r="U111" s="69">
        <v>668</v>
      </c>
      <c r="V111" s="69">
        <v>662</v>
      </c>
      <c r="W111" s="16">
        <v>677</v>
      </c>
      <c r="X111" s="97" t="str">
        <f t="shared" si="3"/>
        <v>TX1054968-02-B_02</v>
      </c>
      <c r="Y111" s="25"/>
    </row>
    <row r="112" spans="1:25">
      <c r="A112" s="46" t="s">
        <v>118</v>
      </c>
      <c r="B112" s="47">
        <v>185</v>
      </c>
      <c r="C112" s="47">
        <v>54</v>
      </c>
      <c r="D112" s="47">
        <v>-131</v>
      </c>
      <c r="E112" s="48"/>
      <c r="F112" s="47"/>
      <c r="G112" s="42"/>
      <c r="H112" s="24">
        <v>355</v>
      </c>
      <c r="I112" s="24">
        <v>170</v>
      </c>
      <c r="J112" s="29"/>
      <c r="K112" s="91" t="str">
        <f t="shared" si="2"/>
        <v>TX1049371-01-DT-1</v>
      </c>
      <c r="L112" s="25"/>
      <c r="M112" s="87"/>
      <c r="N112" s="46" t="s">
        <v>140</v>
      </c>
      <c r="O112" s="47">
        <v>7</v>
      </c>
      <c r="P112" s="47">
        <v>12</v>
      </c>
      <c r="Q112" s="47">
        <v>5</v>
      </c>
      <c r="R112" s="48"/>
      <c r="S112" s="47"/>
      <c r="T112" s="21"/>
      <c r="U112" s="70">
        <v>15</v>
      </c>
      <c r="V112" s="70">
        <v>8</v>
      </c>
      <c r="W112" s="71"/>
      <c r="X112" s="97" t="str">
        <f t="shared" si="3"/>
        <v>TX1054968-02-BB-2</v>
      </c>
      <c r="Y112" s="25"/>
    </row>
    <row r="113" spans="1:25">
      <c r="A113" s="49" t="s">
        <v>119</v>
      </c>
      <c r="B113" s="50">
        <v>342</v>
      </c>
      <c r="C113" s="50">
        <v>193</v>
      </c>
      <c r="D113" s="50">
        <v>-149</v>
      </c>
      <c r="E113" s="51"/>
      <c r="F113" s="50"/>
      <c r="G113" s="21"/>
      <c r="H113" s="33">
        <v>872</v>
      </c>
      <c r="I113" s="33">
        <v>530</v>
      </c>
      <c r="J113" s="34"/>
      <c r="K113" s="91" t="str">
        <f t="shared" si="2"/>
        <v>TX1049371-01-DTH-1</v>
      </c>
      <c r="L113" s="25"/>
      <c r="M113" s="87"/>
      <c r="N113" s="49" t="s">
        <v>141</v>
      </c>
      <c r="O113" s="50">
        <v>20</v>
      </c>
      <c r="P113" s="50">
        <v>12</v>
      </c>
      <c r="Q113" s="50">
        <v>-8</v>
      </c>
      <c r="R113" s="51"/>
      <c r="S113" s="50"/>
      <c r="T113" s="21"/>
      <c r="U113" s="72">
        <v>27</v>
      </c>
      <c r="V113" s="72">
        <v>7</v>
      </c>
      <c r="W113" s="73"/>
      <c r="X113" s="97" t="str">
        <f t="shared" si="3"/>
        <v>TX1054968-02-BT-2</v>
      </c>
      <c r="Y113" s="25"/>
    </row>
    <row r="114" spans="1:25">
      <c r="A114" s="18" t="s">
        <v>120</v>
      </c>
      <c r="B114" s="19">
        <v>293</v>
      </c>
      <c r="C114" s="19">
        <v>643</v>
      </c>
      <c r="D114" s="19">
        <v>350</v>
      </c>
      <c r="E114" s="20">
        <v>-11</v>
      </c>
      <c r="F114" s="19"/>
      <c r="G114" s="38"/>
      <c r="H114" s="22">
        <v>0</v>
      </c>
      <c r="I114" s="22">
        <v>-293</v>
      </c>
      <c r="J114" s="23">
        <v>598</v>
      </c>
      <c r="K114" s="91" t="str">
        <f t="shared" si="2"/>
        <v>TX1049371-05-D_01</v>
      </c>
      <c r="L114" s="25"/>
      <c r="M114" s="87"/>
      <c r="N114" s="18" t="s">
        <v>143</v>
      </c>
      <c r="O114" s="19">
        <v>146</v>
      </c>
      <c r="P114" s="19">
        <v>741</v>
      </c>
      <c r="Q114" s="19">
        <v>595</v>
      </c>
      <c r="R114" s="20">
        <v>94</v>
      </c>
      <c r="S114" s="19"/>
      <c r="T114" s="38"/>
      <c r="U114" s="69">
        <v>192</v>
      </c>
      <c r="V114" s="69">
        <v>46</v>
      </c>
      <c r="W114" s="16">
        <v>-163</v>
      </c>
      <c r="X114" s="97" t="str">
        <f t="shared" si="3"/>
        <v>TX1059410-01-C_02</v>
      </c>
      <c r="Y114" s="25"/>
    </row>
    <row r="115" spans="1:25">
      <c r="A115" s="30" t="s">
        <v>121</v>
      </c>
      <c r="B115" s="31">
        <v>361</v>
      </c>
      <c r="C115" s="31">
        <v>0</v>
      </c>
      <c r="D115" s="31">
        <v>-361</v>
      </c>
      <c r="E115" s="32"/>
      <c r="F115" s="31"/>
      <c r="G115" s="42"/>
      <c r="H115" s="33">
        <v>1252</v>
      </c>
      <c r="I115" s="33">
        <v>891</v>
      </c>
      <c r="J115" s="34"/>
      <c r="K115" s="91" t="str">
        <f t="shared" si="2"/>
        <v>TX1049371-05-DTH-1</v>
      </c>
      <c r="L115" s="25"/>
      <c r="M115" s="87"/>
      <c r="N115" s="26" t="s">
        <v>144</v>
      </c>
      <c r="O115" s="27">
        <v>94</v>
      </c>
      <c r="P115" s="27">
        <v>40</v>
      </c>
      <c r="Q115" s="27">
        <v>-54</v>
      </c>
      <c r="R115" s="28"/>
      <c r="S115" s="27"/>
      <c r="T115" s="42"/>
      <c r="U115" s="70">
        <v>80</v>
      </c>
      <c r="V115" s="70">
        <v>-14</v>
      </c>
      <c r="W115" s="71"/>
      <c r="X115" s="97" t="str">
        <f t="shared" si="3"/>
        <v>TX1059410-01-CT-2</v>
      </c>
      <c r="Y115" s="25"/>
    </row>
    <row r="116" spans="1:25">
      <c r="A116" s="59" t="s">
        <v>122</v>
      </c>
      <c r="B116" s="60">
        <v>10</v>
      </c>
      <c r="C116" s="60">
        <v>10</v>
      </c>
      <c r="D116" s="60">
        <v>0</v>
      </c>
      <c r="E116" s="61">
        <v>0</v>
      </c>
      <c r="F116" s="60"/>
      <c r="G116" s="21"/>
      <c r="H116" s="62">
        <v>0</v>
      </c>
      <c r="I116" s="62">
        <v>-10</v>
      </c>
      <c r="J116" s="63">
        <v>-10</v>
      </c>
      <c r="K116" s="91" t="str">
        <f t="shared" si="2"/>
        <v>NO REPORTA VERSION ACTUAL</v>
      </c>
      <c r="L116" s="25"/>
      <c r="M116" s="87"/>
      <c r="N116" s="30" t="s">
        <v>145</v>
      </c>
      <c r="O116" s="31">
        <v>458</v>
      </c>
      <c r="P116" s="31">
        <v>11</v>
      </c>
      <c r="Q116" s="31">
        <v>-447</v>
      </c>
      <c r="R116" s="32"/>
      <c r="S116" s="31"/>
      <c r="T116" s="21"/>
      <c r="U116" s="72">
        <v>263</v>
      </c>
      <c r="V116" s="72">
        <v>-195</v>
      </c>
      <c r="W116" s="73"/>
      <c r="X116" s="97" t="str">
        <f t="shared" si="3"/>
        <v>TX1059410-01-CTH-2</v>
      </c>
      <c r="Y116" s="25"/>
    </row>
    <row r="117" spans="1:25">
      <c r="A117" s="43" t="s">
        <v>123</v>
      </c>
      <c r="B117" s="44">
        <v>31</v>
      </c>
      <c r="C117" s="44">
        <v>66</v>
      </c>
      <c r="D117" s="44">
        <v>35</v>
      </c>
      <c r="E117" s="45">
        <v>34</v>
      </c>
      <c r="F117" s="44"/>
      <c r="G117" s="38"/>
      <c r="H117" s="22">
        <v>0</v>
      </c>
      <c r="I117" s="22">
        <v>-31</v>
      </c>
      <c r="J117" s="23">
        <v>81</v>
      </c>
      <c r="K117" s="91" t="str">
        <f t="shared" si="2"/>
        <v>TX1049371-08-D_01</v>
      </c>
      <c r="L117" s="25"/>
      <c r="M117" s="87"/>
      <c r="N117" s="18" t="s">
        <v>146</v>
      </c>
      <c r="O117" s="19">
        <v>0</v>
      </c>
      <c r="P117" s="19">
        <v>0</v>
      </c>
      <c r="Q117" s="19">
        <v>0</v>
      </c>
      <c r="R117" s="20">
        <v>0</v>
      </c>
      <c r="S117" s="19"/>
      <c r="T117" s="21"/>
      <c r="U117" s="69">
        <v>17</v>
      </c>
      <c r="V117" s="69">
        <v>17</v>
      </c>
      <c r="W117" s="16">
        <v>46</v>
      </c>
      <c r="X117" s="97" t="str">
        <f t="shared" si="3"/>
        <v>TX1061354-01-CB-1</v>
      </c>
      <c r="Y117" s="25"/>
    </row>
    <row r="118" spans="1:25">
      <c r="A118" s="49" t="s">
        <v>124</v>
      </c>
      <c r="B118" s="50">
        <v>1</v>
      </c>
      <c r="C118" s="50">
        <v>0</v>
      </c>
      <c r="D118" s="50">
        <v>-1</v>
      </c>
      <c r="E118" s="51"/>
      <c r="F118" s="50"/>
      <c r="G118" s="42"/>
      <c r="H118" s="33">
        <v>113</v>
      </c>
      <c r="I118" s="33">
        <v>112</v>
      </c>
      <c r="J118" s="34"/>
      <c r="K118" s="91" t="str">
        <f t="shared" si="2"/>
        <v>TX1049371-08-DTH-1</v>
      </c>
      <c r="L118" s="25"/>
      <c r="M118" s="87"/>
      <c r="N118" s="26" t="s">
        <v>186</v>
      </c>
      <c r="O118" s="27">
        <v>0</v>
      </c>
      <c r="P118" s="27">
        <v>0</v>
      </c>
      <c r="Q118" s="27">
        <v>0</v>
      </c>
      <c r="R118" s="28"/>
      <c r="S118" s="27"/>
      <c r="T118" s="21"/>
      <c r="U118" s="70">
        <v>25</v>
      </c>
      <c r="V118" s="70">
        <v>25</v>
      </c>
      <c r="W118" s="71"/>
      <c r="X118" s="97" t="str">
        <f t="shared" si="3"/>
        <v>NO REPORTA VERSION ANTERIOR</v>
      </c>
      <c r="Y118" s="25"/>
    </row>
    <row r="119" spans="1:25">
      <c r="A119" s="18" t="s">
        <v>125</v>
      </c>
      <c r="B119" s="19">
        <v>17</v>
      </c>
      <c r="C119" s="19">
        <v>78</v>
      </c>
      <c r="D119" s="19">
        <v>61</v>
      </c>
      <c r="E119" s="20">
        <v>21</v>
      </c>
      <c r="F119" s="19"/>
      <c r="G119" s="21"/>
      <c r="H119" s="22">
        <v>0</v>
      </c>
      <c r="I119" s="22">
        <v>-17</v>
      </c>
      <c r="J119" s="23">
        <v>520</v>
      </c>
      <c r="K119" s="91" t="str">
        <f t="shared" si="2"/>
        <v>TX1049524-01-D_01</v>
      </c>
      <c r="L119" s="25"/>
      <c r="M119" s="87"/>
      <c r="N119" s="30" t="s">
        <v>187</v>
      </c>
      <c r="O119" s="31">
        <v>0</v>
      </c>
      <c r="P119" s="31">
        <v>0</v>
      </c>
      <c r="Q119" s="31">
        <v>0</v>
      </c>
      <c r="R119" s="32"/>
      <c r="S119" s="31"/>
      <c r="T119" s="21"/>
      <c r="U119" s="72">
        <v>4</v>
      </c>
      <c r="V119" s="72">
        <v>4</v>
      </c>
      <c r="W119" s="73"/>
      <c r="X119" s="97" t="str">
        <f t="shared" si="3"/>
        <v>NO REPORTA VERSION ANTERIOR</v>
      </c>
      <c r="Y119" s="25"/>
    </row>
    <row r="120" spans="1:25">
      <c r="A120" s="26" t="s">
        <v>126</v>
      </c>
      <c r="B120" s="27">
        <v>498</v>
      </c>
      <c r="C120" s="27">
        <v>9</v>
      </c>
      <c r="D120" s="27">
        <v>-489</v>
      </c>
      <c r="E120" s="28"/>
      <c r="F120" s="27"/>
      <c r="G120" s="38"/>
      <c r="H120" s="24">
        <v>919</v>
      </c>
      <c r="I120" s="24">
        <v>421</v>
      </c>
      <c r="J120" s="29"/>
      <c r="K120" s="91" t="str">
        <f t="shared" si="2"/>
        <v>TX1049524-01-DT-1</v>
      </c>
      <c r="L120" s="25"/>
      <c r="M120" s="87"/>
      <c r="N120" s="43" t="s">
        <v>149</v>
      </c>
      <c r="O120" s="44">
        <v>136</v>
      </c>
      <c r="P120" s="44">
        <v>134</v>
      </c>
      <c r="Q120" s="44">
        <v>-2</v>
      </c>
      <c r="R120" s="45">
        <v>-54</v>
      </c>
      <c r="S120" s="44"/>
      <c r="T120" s="21"/>
      <c r="U120" s="77">
        <v>6341</v>
      </c>
      <c r="V120" s="77">
        <v>6205</v>
      </c>
      <c r="W120" s="78">
        <v>6266</v>
      </c>
      <c r="X120" s="97" t="str">
        <f t="shared" si="3"/>
        <v>TX1066081-03-C_01</v>
      </c>
      <c r="Y120" s="25"/>
    </row>
    <row r="121" spans="1:25">
      <c r="A121" s="30" t="s">
        <v>127</v>
      </c>
      <c r="B121" s="31">
        <v>0</v>
      </c>
      <c r="C121" s="31">
        <v>449</v>
      </c>
      <c r="D121" s="31">
        <v>449</v>
      </c>
      <c r="E121" s="32"/>
      <c r="F121" s="31"/>
      <c r="G121" s="42"/>
      <c r="H121" s="33">
        <v>116</v>
      </c>
      <c r="I121" s="33">
        <v>116</v>
      </c>
      <c r="J121" s="34"/>
      <c r="K121" s="91" t="str">
        <f t="shared" si="2"/>
        <v>NO REPORTA VERSION ACTUAL</v>
      </c>
      <c r="L121" s="25"/>
      <c r="M121" s="87"/>
      <c r="N121" s="46" t="s">
        <v>150</v>
      </c>
      <c r="O121" s="47">
        <v>0</v>
      </c>
      <c r="P121" s="47">
        <v>5</v>
      </c>
      <c r="Q121" s="47">
        <v>5</v>
      </c>
      <c r="R121" s="48"/>
      <c r="S121" s="47"/>
      <c r="T121" s="21"/>
      <c r="U121" s="79">
        <v>1</v>
      </c>
      <c r="V121" s="79">
        <v>1</v>
      </c>
      <c r="W121" s="80"/>
      <c r="X121" s="97" t="str">
        <f t="shared" si="3"/>
        <v>TX1066081-03-CB-1</v>
      </c>
      <c r="Y121" s="25"/>
    </row>
    <row r="122" spans="1:25">
      <c r="A122" s="43" t="s">
        <v>128</v>
      </c>
      <c r="B122" s="44">
        <v>29</v>
      </c>
      <c r="C122" s="44">
        <v>61</v>
      </c>
      <c r="D122" s="44">
        <v>32</v>
      </c>
      <c r="E122" s="45">
        <v>-35</v>
      </c>
      <c r="F122" s="44"/>
      <c r="G122" s="21"/>
      <c r="H122" s="22">
        <v>0</v>
      </c>
      <c r="I122" s="22">
        <v>-29</v>
      </c>
      <c r="J122" s="23">
        <v>26</v>
      </c>
      <c r="K122" s="91" t="str">
        <f t="shared" si="2"/>
        <v>TX1050951-00-A_01</v>
      </c>
      <c r="L122" s="25"/>
      <c r="M122" s="87"/>
      <c r="N122" s="46" t="s">
        <v>151</v>
      </c>
      <c r="O122" s="47">
        <v>2</v>
      </c>
      <c r="P122" s="47">
        <v>8</v>
      </c>
      <c r="Q122" s="47">
        <v>6</v>
      </c>
      <c r="R122" s="48"/>
      <c r="S122" s="47"/>
      <c r="T122" s="21"/>
      <c r="U122" s="79">
        <v>66</v>
      </c>
      <c r="V122" s="79">
        <v>64</v>
      </c>
      <c r="W122" s="80"/>
      <c r="X122" s="97" t="str">
        <f t="shared" si="3"/>
        <v>TX1066081-03-CT-1</v>
      </c>
      <c r="Y122" s="25"/>
    </row>
    <row r="123" spans="1:25">
      <c r="A123" s="46" t="s">
        <v>129</v>
      </c>
      <c r="B123" s="47">
        <v>0</v>
      </c>
      <c r="C123" s="47">
        <v>3</v>
      </c>
      <c r="D123" s="47">
        <v>3</v>
      </c>
      <c r="E123" s="48"/>
      <c r="F123" s="47"/>
      <c r="G123" s="38"/>
      <c r="H123" s="24">
        <v>17</v>
      </c>
      <c r="I123" s="24">
        <v>17</v>
      </c>
      <c r="J123" s="29"/>
      <c r="K123" s="91" t="str">
        <f t="shared" si="2"/>
        <v>TX1050951-00-AT-1</v>
      </c>
      <c r="L123" s="25"/>
      <c r="M123" s="87"/>
      <c r="N123" s="49" t="s">
        <v>152</v>
      </c>
      <c r="O123" s="50">
        <v>73</v>
      </c>
      <c r="P123" s="50">
        <v>10</v>
      </c>
      <c r="Q123" s="50">
        <v>-63</v>
      </c>
      <c r="R123" s="51"/>
      <c r="S123" s="50"/>
      <c r="T123" s="21"/>
      <c r="U123" s="81">
        <v>69</v>
      </c>
      <c r="V123" s="81">
        <v>-4</v>
      </c>
      <c r="W123" s="82"/>
      <c r="X123" s="97" t="str">
        <f t="shared" si="3"/>
        <v>TX1066081-03-CTH-1</v>
      </c>
      <c r="Y123" s="25"/>
    </row>
    <row r="124" spans="1:25">
      <c r="A124" s="49" t="s">
        <v>130</v>
      </c>
      <c r="B124" s="50">
        <v>75</v>
      </c>
      <c r="C124" s="50">
        <v>5</v>
      </c>
      <c r="D124" s="50">
        <v>-70</v>
      </c>
      <c r="E124" s="51"/>
      <c r="F124" s="50"/>
      <c r="G124" s="42"/>
      <c r="H124" s="33">
        <v>113</v>
      </c>
      <c r="I124" s="33">
        <v>38</v>
      </c>
      <c r="J124" s="34"/>
      <c r="K124" s="91" t="str">
        <f t="shared" si="2"/>
        <v>TX1050951-00-ATH-1</v>
      </c>
      <c r="L124" s="25"/>
      <c r="M124" s="87"/>
      <c r="N124" s="43" t="s">
        <v>156</v>
      </c>
      <c r="O124" s="44">
        <v>106</v>
      </c>
      <c r="P124" s="44">
        <v>150</v>
      </c>
      <c r="Q124" s="44">
        <v>44</v>
      </c>
      <c r="R124" s="45">
        <v>-46</v>
      </c>
      <c r="S124" s="44"/>
      <c r="T124" s="21"/>
      <c r="U124" s="69">
        <v>56</v>
      </c>
      <c r="V124" s="69">
        <v>-50</v>
      </c>
      <c r="W124" s="16">
        <v>-54</v>
      </c>
      <c r="X124" s="97" t="str">
        <f t="shared" si="3"/>
        <v>TX1085638-01-C_01</v>
      </c>
      <c r="Y124" s="25"/>
    </row>
    <row r="125" spans="1:25">
      <c r="A125" s="43" t="s">
        <v>131</v>
      </c>
      <c r="B125" s="44">
        <v>4</v>
      </c>
      <c r="C125" s="44">
        <v>60</v>
      </c>
      <c r="D125" s="44">
        <v>56</v>
      </c>
      <c r="E125" s="45">
        <v>93</v>
      </c>
      <c r="F125" s="44"/>
      <c r="G125" s="38"/>
      <c r="H125" s="22">
        <v>0</v>
      </c>
      <c r="I125" s="22">
        <v>-4</v>
      </c>
      <c r="J125" s="23">
        <v>246</v>
      </c>
      <c r="K125" s="91" t="str">
        <f t="shared" si="2"/>
        <v>TX1051035-01-C_01</v>
      </c>
      <c r="L125" s="25"/>
      <c r="M125" s="87"/>
      <c r="N125" s="46" t="s">
        <v>157</v>
      </c>
      <c r="O125" s="47">
        <v>0</v>
      </c>
      <c r="P125" s="47">
        <v>0</v>
      </c>
      <c r="Q125" s="47">
        <v>0</v>
      </c>
      <c r="R125" s="48"/>
      <c r="S125" s="47"/>
      <c r="T125" s="21"/>
      <c r="U125" s="70">
        <v>4</v>
      </c>
      <c r="V125" s="70">
        <v>4</v>
      </c>
      <c r="W125" s="71"/>
      <c r="X125" s="97" t="str">
        <f t="shared" si="3"/>
        <v>TX1085638-01-CB-1</v>
      </c>
      <c r="Y125" s="25"/>
    </row>
    <row r="126" spans="1:25">
      <c r="A126" s="46" t="s">
        <v>132</v>
      </c>
      <c r="B126" s="47">
        <v>64</v>
      </c>
      <c r="C126" s="47">
        <v>14</v>
      </c>
      <c r="D126" s="47">
        <v>-50</v>
      </c>
      <c r="E126" s="48"/>
      <c r="F126" s="47"/>
      <c r="G126" s="42"/>
      <c r="H126" s="24">
        <v>213</v>
      </c>
      <c r="I126" s="24">
        <v>149</v>
      </c>
      <c r="J126" s="29"/>
      <c r="K126" s="91" t="str">
        <f t="shared" si="2"/>
        <v>TX1051035-01-CB-1</v>
      </c>
      <c r="L126" s="25"/>
      <c r="M126" s="87"/>
      <c r="N126" s="49" t="s">
        <v>158</v>
      </c>
      <c r="O126" s="50">
        <v>90</v>
      </c>
      <c r="P126" s="50">
        <v>0</v>
      </c>
      <c r="Q126" s="50">
        <v>-90</v>
      </c>
      <c r="R126" s="51"/>
      <c r="S126" s="50"/>
      <c r="T126" s="21"/>
      <c r="U126" s="72">
        <v>82</v>
      </c>
      <c r="V126" s="72">
        <v>-8</v>
      </c>
      <c r="W126" s="73"/>
      <c r="X126" s="97" t="str">
        <f t="shared" si="3"/>
        <v>TX1085638-01-CTH-1</v>
      </c>
      <c r="Y126" s="25"/>
    </row>
    <row r="127" spans="1:25">
      <c r="A127" s="46" t="s">
        <v>133</v>
      </c>
      <c r="B127" s="47">
        <v>4</v>
      </c>
      <c r="C127" s="47">
        <v>78</v>
      </c>
      <c r="D127" s="47">
        <v>74</v>
      </c>
      <c r="E127" s="48"/>
      <c r="F127" s="47"/>
      <c r="G127" s="21"/>
      <c r="H127" s="24">
        <v>39</v>
      </c>
      <c r="I127" s="24">
        <v>35</v>
      </c>
      <c r="J127" s="29"/>
      <c r="K127" s="91" t="str">
        <f t="shared" si="2"/>
        <v>TX1051035-01-CT-1</v>
      </c>
      <c r="L127" s="25"/>
      <c r="M127" s="87"/>
      <c r="N127" s="18" t="s">
        <v>159</v>
      </c>
      <c r="O127" s="19">
        <v>29</v>
      </c>
      <c r="P127" s="19">
        <v>65</v>
      </c>
      <c r="Q127" s="19">
        <v>36</v>
      </c>
      <c r="R127" s="20">
        <v>-8</v>
      </c>
      <c r="S127" s="19"/>
      <c r="T127" s="21"/>
      <c r="U127" s="69">
        <v>2648</v>
      </c>
      <c r="V127" s="69">
        <v>2619</v>
      </c>
      <c r="W127" s="16">
        <v>2612</v>
      </c>
      <c r="X127" s="97" t="str">
        <f t="shared" si="3"/>
        <v>TX1100618-01-A_01</v>
      </c>
      <c r="Y127" s="25"/>
    </row>
    <row r="128" spans="1:25">
      <c r="A128" s="49" t="s">
        <v>134</v>
      </c>
      <c r="B128" s="50">
        <v>3</v>
      </c>
      <c r="C128" s="50">
        <v>16</v>
      </c>
      <c r="D128" s="50">
        <v>13</v>
      </c>
      <c r="E128" s="51"/>
      <c r="F128" s="50"/>
      <c r="G128" s="21"/>
      <c r="H128" s="33">
        <v>69</v>
      </c>
      <c r="I128" s="33">
        <v>66</v>
      </c>
      <c r="J128" s="34"/>
      <c r="K128" s="91" t="str">
        <f t="shared" si="2"/>
        <v>TX1051035-01-CTH-1</v>
      </c>
      <c r="L128" s="25"/>
      <c r="M128" s="87"/>
      <c r="N128" s="30" t="s">
        <v>161</v>
      </c>
      <c r="O128" s="31">
        <v>44</v>
      </c>
      <c r="P128" s="31">
        <v>0</v>
      </c>
      <c r="Q128" s="31">
        <v>-44</v>
      </c>
      <c r="R128" s="32"/>
      <c r="S128" s="31"/>
      <c r="T128" s="21"/>
      <c r="U128" s="72">
        <v>37</v>
      </c>
      <c r="V128" s="72">
        <v>-7</v>
      </c>
      <c r="W128" s="73"/>
      <c r="X128" s="97" t="str">
        <f t="shared" si="3"/>
        <v>TX1100618-01-ATH-1</v>
      </c>
      <c r="Y128" s="25"/>
    </row>
    <row r="129" spans="1:25">
      <c r="A129" s="18" t="s">
        <v>135</v>
      </c>
      <c r="B129" s="19">
        <v>22</v>
      </c>
      <c r="C129" s="19">
        <v>59</v>
      </c>
      <c r="D129" s="19">
        <v>37</v>
      </c>
      <c r="E129" s="20">
        <v>3</v>
      </c>
      <c r="F129" s="19"/>
      <c r="G129" s="21"/>
      <c r="H129" s="22">
        <v>0</v>
      </c>
      <c r="I129" s="22">
        <v>-22</v>
      </c>
      <c r="J129" s="23">
        <v>40</v>
      </c>
      <c r="K129" s="91" t="str">
        <f t="shared" si="2"/>
        <v>TX1054968-01-B_01</v>
      </c>
      <c r="L129" s="25"/>
      <c r="M129" s="87"/>
      <c r="N129" s="65" t="s">
        <v>162</v>
      </c>
      <c r="O129" s="66">
        <v>27</v>
      </c>
      <c r="P129" s="66">
        <v>0</v>
      </c>
      <c r="Q129" s="66">
        <v>-27</v>
      </c>
      <c r="R129" s="67">
        <v>-27</v>
      </c>
      <c r="S129" s="66"/>
      <c r="T129" s="21"/>
      <c r="U129" s="74">
        <v>26</v>
      </c>
      <c r="V129" s="74">
        <v>-1</v>
      </c>
      <c r="W129" s="75">
        <v>-1</v>
      </c>
      <c r="X129" s="97" t="str">
        <f t="shared" si="3"/>
        <v>TX1129901-00-ATH-1</v>
      </c>
      <c r="Y129" s="25"/>
    </row>
    <row r="130" spans="1:25">
      <c r="A130" s="26" t="s">
        <v>136</v>
      </c>
      <c r="B130" s="27">
        <v>0</v>
      </c>
      <c r="C130" s="27">
        <v>0</v>
      </c>
      <c r="D130" s="27">
        <v>0</v>
      </c>
      <c r="E130" s="28"/>
      <c r="F130" s="27"/>
      <c r="G130" s="21"/>
      <c r="H130" s="24">
        <v>11</v>
      </c>
      <c r="I130" s="24">
        <v>11</v>
      </c>
      <c r="J130" s="29"/>
      <c r="K130" s="91" t="str">
        <f t="shared" si="2"/>
        <v>TX1054968-01-BB-1</v>
      </c>
      <c r="L130" s="25"/>
      <c r="M130" s="87"/>
      <c r="N130" s="43" t="s">
        <v>163</v>
      </c>
      <c r="O130" s="44">
        <v>0</v>
      </c>
      <c r="P130" s="44">
        <v>0</v>
      </c>
      <c r="Q130" s="44">
        <v>0</v>
      </c>
      <c r="R130" s="45">
        <v>-30</v>
      </c>
      <c r="S130" s="44"/>
      <c r="T130" s="21"/>
      <c r="U130" s="69">
        <v>3</v>
      </c>
      <c r="V130" s="69">
        <v>3</v>
      </c>
      <c r="W130" s="16">
        <v>-3</v>
      </c>
      <c r="X130" s="97" t="str">
        <f t="shared" si="3"/>
        <v>TX1129903-00-AT-1</v>
      </c>
      <c r="Y130" s="25"/>
    </row>
    <row r="131" spans="1:25">
      <c r="A131" s="26" t="s">
        <v>137</v>
      </c>
      <c r="B131" s="27">
        <v>0</v>
      </c>
      <c r="C131" s="27">
        <v>0</v>
      </c>
      <c r="D131" s="27">
        <v>0</v>
      </c>
      <c r="E131" s="28"/>
      <c r="F131" s="27"/>
      <c r="G131" s="38"/>
      <c r="H131" s="24">
        <v>6</v>
      </c>
      <c r="I131" s="24">
        <v>6</v>
      </c>
      <c r="J131" s="29"/>
      <c r="K131" s="91" t="str">
        <f t="shared" si="2"/>
        <v>TX1054968-01-BT-1</v>
      </c>
      <c r="L131" s="25"/>
      <c r="M131" s="87"/>
      <c r="N131" s="49" t="s">
        <v>164</v>
      </c>
      <c r="O131" s="50">
        <v>30</v>
      </c>
      <c r="P131" s="50">
        <v>0</v>
      </c>
      <c r="Q131" s="50">
        <v>-30</v>
      </c>
      <c r="R131" s="51"/>
      <c r="S131" s="50"/>
      <c r="T131" s="42"/>
      <c r="U131" s="72">
        <v>24</v>
      </c>
      <c r="V131" s="72">
        <v>-6</v>
      </c>
      <c r="W131" s="73"/>
      <c r="X131" s="97" t="str">
        <f t="shared" si="3"/>
        <v>TX1129903-00-ATH-1</v>
      </c>
      <c r="Y131" s="25"/>
    </row>
    <row r="132" spans="1:25">
      <c r="A132" s="30" t="s">
        <v>138</v>
      </c>
      <c r="B132" s="31">
        <v>40</v>
      </c>
      <c r="C132" s="31">
        <v>6</v>
      </c>
      <c r="D132" s="31">
        <v>-34</v>
      </c>
      <c r="E132" s="32"/>
      <c r="F132" s="31"/>
      <c r="G132" s="42"/>
      <c r="H132" s="33">
        <v>85</v>
      </c>
      <c r="I132" s="33">
        <v>45</v>
      </c>
      <c r="J132" s="34"/>
      <c r="K132" s="91" t="str">
        <f t="shared" si="2"/>
        <v>TX1054968-01-BTH-1</v>
      </c>
      <c r="L132" s="25"/>
      <c r="M132" s="87"/>
      <c r="N132" s="18" t="s">
        <v>165</v>
      </c>
      <c r="O132" s="19">
        <v>64</v>
      </c>
      <c r="P132" s="19">
        <v>670</v>
      </c>
      <c r="Q132" s="19">
        <v>606</v>
      </c>
      <c r="R132" s="20">
        <v>55</v>
      </c>
      <c r="S132" s="19"/>
      <c r="T132" s="38"/>
      <c r="U132" s="69">
        <v>52</v>
      </c>
      <c r="V132" s="69">
        <v>-12</v>
      </c>
      <c r="W132" s="16">
        <v>-39</v>
      </c>
      <c r="X132" s="97" t="str">
        <f t="shared" si="3"/>
        <v>TX1449781-00-A_02</v>
      </c>
      <c r="Y132" s="25"/>
    </row>
    <row r="133" spans="1:25">
      <c r="A133" s="43" t="s">
        <v>139</v>
      </c>
      <c r="B133" s="44">
        <v>6</v>
      </c>
      <c r="C133" s="44">
        <v>38</v>
      </c>
      <c r="D133" s="44">
        <v>32</v>
      </c>
      <c r="E133" s="45">
        <v>37</v>
      </c>
      <c r="F133" s="44"/>
      <c r="G133" s="21"/>
      <c r="H133" s="22">
        <v>1</v>
      </c>
      <c r="I133" s="22">
        <v>-5</v>
      </c>
      <c r="J133" s="23">
        <v>76</v>
      </c>
      <c r="K133" s="91" t="str">
        <f t="shared" si="2"/>
        <v>TX1054968-02-B_02</v>
      </c>
      <c r="L133" s="25"/>
      <c r="M133" s="87"/>
      <c r="N133" s="26" t="s">
        <v>166</v>
      </c>
      <c r="O133" s="27">
        <v>15</v>
      </c>
      <c r="P133" s="27">
        <v>0</v>
      </c>
      <c r="Q133" s="27">
        <v>-15</v>
      </c>
      <c r="R133" s="28"/>
      <c r="S133" s="27"/>
      <c r="T133" s="2"/>
      <c r="U133" s="70">
        <v>5</v>
      </c>
      <c r="V133" s="70">
        <v>-10</v>
      </c>
      <c r="W133" s="71"/>
      <c r="X133" s="97" t="str">
        <f t="shared" si="3"/>
        <v>TX1449781-00-AB-2</v>
      </c>
      <c r="Y133" s="25"/>
    </row>
    <row r="134" spans="1:25">
      <c r="A134" s="46" t="s">
        <v>140</v>
      </c>
      <c r="B134" s="47">
        <v>7</v>
      </c>
      <c r="C134" s="47">
        <v>12</v>
      </c>
      <c r="D134" s="47">
        <v>5</v>
      </c>
      <c r="E134" s="48"/>
      <c r="F134" s="47"/>
      <c r="G134" s="21"/>
      <c r="H134" s="24">
        <v>27</v>
      </c>
      <c r="I134" s="24">
        <v>20</v>
      </c>
      <c r="J134" s="29"/>
      <c r="K134" s="91" t="str">
        <f t="shared" ref="K134:K172" si="4">IFERROR(VLOOKUP(A134,$N:$Y,1,0),"NO REPORTA VERSION ACTUAL")</f>
        <v>TX1054968-02-BB-2</v>
      </c>
      <c r="L134" s="25"/>
      <c r="M134" s="87"/>
      <c r="N134" s="26" t="s">
        <v>167</v>
      </c>
      <c r="O134" s="27">
        <v>3</v>
      </c>
      <c r="P134" s="27">
        <v>12</v>
      </c>
      <c r="Q134" s="27">
        <v>9</v>
      </c>
      <c r="R134" s="28"/>
      <c r="S134" s="27"/>
      <c r="T134" s="2"/>
      <c r="U134" s="70">
        <v>16</v>
      </c>
      <c r="V134" s="70">
        <v>13</v>
      </c>
      <c r="W134" s="71"/>
      <c r="X134" s="97" t="str">
        <f t="shared" ref="X134:X141" si="5">IFERROR(VLOOKUP(N134,$A:$L,1,0),"NO REPORTA VERSION ANTERIOR")</f>
        <v>TX1449781-00-AT-2</v>
      </c>
      <c r="Y134" s="25"/>
    </row>
    <row r="135" spans="1:25">
      <c r="A135" s="46" t="s">
        <v>141</v>
      </c>
      <c r="B135" s="47">
        <v>20</v>
      </c>
      <c r="C135" s="47">
        <v>12</v>
      </c>
      <c r="D135" s="47">
        <v>-8</v>
      </c>
      <c r="E135" s="48"/>
      <c r="F135" s="47"/>
      <c r="G135" s="42"/>
      <c r="H135" s="24">
        <v>8</v>
      </c>
      <c r="I135" s="24">
        <v>-12</v>
      </c>
      <c r="J135" s="29"/>
      <c r="K135" s="91" t="str">
        <f t="shared" si="4"/>
        <v>TX1054968-02-BT-2</v>
      </c>
      <c r="L135" s="25"/>
      <c r="M135" s="87"/>
      <c r="N135" s="30" t="s">
        <v>168</v>
      </c>
      <c r="O135" s="31">
        <v>577</v>
      </c>
      <c r="P135" s="31">
        <v>32</v>
      </c>
      <c r="Q135" s="31">
        <v>-545</v>
      </c>
      <c r="R135" s="32"/>
      <c r="S135" s="31"/>
      <c r="T135" s="42"/>
      <c r="U135" s="72">
        <v>547</v>
      </c>
      <c r="V135" s="72">
        <v>-30</v>
      </c>
      <c r="W135" s="73"/>
      <c r="X135" s="97" t="str">
        <f t="shared" si="5"/>
        <v>TX1449781-00-ATH-2</v>
      </c>
      <c r="Y135" s="25"/>
    </row>
    <row r="136" spans="1:25">
      <c r="A136" s="49" t="s">
        <v>142</v>
      </c>
      <c r="B136" s="50">
        <v>0</v>
      </c>
      <c r="C136" s="50">
        <v>8</v>
      </c>
      <c r="D136" s="50">
        <v>8</v>
      </c>
      <c r="E136" s="51"/>
      <c r="F136" s="50"/>
      <c r="G136" s="21"/>
      <c r="H136" s="33">
        <v>73</v>
      </c>
      <c r="I136" s="33">
        <v>73</v>
      </c>
      <c r="J136" s="34"/>
      <c r="K136" s="91" t="str">
        <f t="shared" si="4"/>
        <v>NO REPORTA VERSION ACTUAL</v>
      </c>
      <c r="L136" s="25"/>
      <c r="M136" s="87"/>
      <c r="N136" s="43" t="s">
        <v>170</v>
      </c>
      <c r="O136" s="44">
        <v>117</v>
      </c>
      <c r="P136" s="44">
        <v>583</v>
      </c>
      <c r="Q136" s="44">
        <v>466</v>
      </c>
      <c r="R136" s="45">
        <v>183</v>
      </c>
      <c r="S136" s="44"/>
      <c r="T136" s="38"/>
      <c r="U136" s="69">
        <v>201</v>
      </c>
      <c r="V136" s="69">
        <v>84</v>
      </c>
      <c r="W136" s="16">
        <v>-160</v>
      </c>
      <c r="X136" s="97" t="str">
        <f t="shared" si="5"/>
        <v>TX1454671-00-A_02</v>
      </c>
      <c r="Y136" s="25"/>
    </row>
    <row r="137" spans="1:25">
      <c r="A137" s="18" t="s">
        <v>143</v>
      </c>
      <c r="B137" s="19">
        <v>146</v>
      </c>
      <c r="C137" s="19">
        <v>741</v>
      </c>
      <c r="D137" s="19">
        <v>595</v>
      </c>
      <c r="E137" s="20">
        <v>94</v>
      </c>
      <c r="F137" s="19"/>
      <c r="G137" s="38"/>
      <c r="H137" s="22">
        <v>0</v>
      </c>
      <c r="I137" s="22">
        <v>-146</v>
      </c>
      <c r="J137" s="23">
        <v>589</v>
      </c>
      <c r="K137" s="91" t="str">
        <f t="shared" si="4"/>
        <v>TX1059410-01-C_02</v>
      </c>
      <c r="L137" s="25"/>
      <c r="M137" s="87"/>
      <c r="N137" s="46" t="s">
        <v>171</v>
      </c>
      <c r="O137" s="47">
        <v>2</v>
      </c>
      <c r="P137" s="47">
        <v>169</v>
      </c>
      <c r="Q137" s="47">
        <v>167</v>
      </c>
      <c r="R137" s="48"/>
      <c r="S137" s="47"/>
      <c r="T137" s="2"/>
      <c r="U137" s="70">
        <v>9</v>
      </c>
      <c r="V137" s="70">
        <v>7</v>
      </c>
      <c r="W137" s="71"/>
      <c r="X137" s="97" t="str">
        <f t="shared" si="5"/>
        <v>TX1454671-00-AT-2</v>
      </c>
      <c r="Y137" s="25"/>
    </row>
    <row r="138" spans="1:25">
      <c r="A138" s="26" t="s">
        <v>144</v>
      </c>
      <c r="B138" s="27">
        <v>94</v>
      </c>
      <c r="C138" s="27">
        <v>40</v>
      </c>
      <c r="D138" s="27">
        <v>-54</v>
      </c>
      <c r="E138" s="28"/>
      <c r="F138" s="27"/>
      <c r="G138" s="2"/>
      <c r="H138" s="24">
        <v>60</v>
      </c>
      <c r="I138" s="24">
        <v>-34</v>
      </c>
      <c r="J138" s="29"/>
      <c r="K138" s="91" t="str">
        <f t="shared" si="4"/>
        <v>TX1059410-01-CT-2</v>
      </c>
      <c r="L138" s="25"/>
      <c r="M138" s="87"/>
      <c r="N138" s="49" t="s">
        <v>172</v>
      </c>
      <c r="O138" s="50">
        <v>452</v>
      </c>
      <c r="P138" s="50">
        <v>2</v>
      </c>
      <c r="Q138" s="50">
        <v>-450</v>
      </c>
      <c r="R138" s="51"/>
      <c r="S138" s="50"/>
      <c r="T138" s="42"/>
      <c r="U138" s="72">
        <v>201</v>
      </c>
      <c r="V138" s="72">
        <v>-251</v>
      </c>
      <c r="W138" s="73"/>
      <c r="X138" s="97" t="str">
        <f t="shared" si="5"/>
        <v>TX1454671-00-ATH-2</v>
      </c>
      <c r="Y138" s="25"/>
    </row>
    <row r="139" spans="1:25">
      <c r="A139" s="30" t="s">
        <v>145</v>
      </c>
      <c r="B139" s="31">
        <v>458</v>
      </c>
      <c r="C139" s="31">
        <v>11</v>
      </c>
      <c r="D139" s="31">
        <v>-447</v>
      </c>
      <c r="E139" s="32"/>
      <c r="F139" s="31"/>
      <c r="G139" s="42"/>
      <c r="H139" s="33">
        <v>1227</v>
      </c>
      <c r="I139" s="33">
        <v>769</v>
      </c>
      <c r="J139" s="34"/>
      <c r="K139" s="91" t="str">
        <f t="shared" si="4"/>
        <v>TX1059410-01-CTH-2</v>
      </c>
      <c r="L139" s="25"/>
      <c r="M139" s="87"/>
      <c r="N139" s="35" t="s">
        <v>173</v>
      </c>
      <c r="O139" s="36">
        <v>22</v>
      </c>
      <c r="P139" s="36">
        <v>34</v>
      </c>
      <c r="Q139" s="36">
        <v>12</v>
      </c>
      <c r="R139" s="37">
        <v>238</v>
      </c>
      <c r="S139" s="36"/>
      <c r="T139" s="38"/>
      <c r="U139" s="69">
        <v>11</v>
      </c>
      <c r="V139" s="69">
        <v>-11</v>
      </c>
      <c r="W139" s="16">
        <v>9</v>
      </c>
      <c r="X139" s="97" t="str">
        <f t="shared" si="5"/>
        <v>TX1456998-00-A_01</v>
      </c>
      <c r="Y139" s="25"/>
    </row>
    <row r="140" spans="1:25">
      <c r="A140" s="18" t="s">
        <v>146</v>
      </c>
      <c r="B140" s="19">
        <v>0</v>
      </c>
      <c r="C140" s="19">
        <v>0</v>
      </c>
      <c r="D140" s="19">
        <v>0</v>
      </c>
      <c r="E140" s="20">
        <v>2</v>
      </c>
      <c r="F140" s="19"/>
      <c r="G140" s="38"/>
      <c r="H140" s="22">
        <v>17</v>
      </c>
      <c r="I140" s="22">
        <v>17</v>
      </c>
      <c r="J140" s="23">
        <v>34</v>
      </c>
      <c r="K140" s="91" t="str">
        <f t="shared" si="4"/>
        <v>TX1061354-01-CB-1</v>
      </c>
      <c r="L140" s="25"/>
      <c r="M140" s="87"/>
      <c r="N140" s="55" t="s">
        <v>174</v>
      </c>
      <c r="O140" s="56">
        <v>6</v>
      </c>
      <c r="P140" s="56">
        <v>213</v>
      </c>
      <c r="Q140" s="56">
        <v>207</v>
      </c>
      <c r="R140" s="57"/>
      <c r="S140" s="56"/>
      <c r="T140" s="2"/>
      <c r="U140" s="70">
        <v>54</v>
      </c>
      <c r="V140" s="70">
        <v>48</v>
      </c>
      <c r="W140" s="71"/>
      <c r="X140" s="97" t="str">
        <f t="shared" si="5"/>
        <v>TX1456998-00-AT-1</v>
      </c>
      <c r="Y140" s="25"/>
    </row>
    <row r="141" spans="1:25">
      <c r="A141" s="26" t="s">
        <v>147</v>
      </c>
      <c r="B141" s="27">
        <v>0</v>
      </c>
      <c r="C141" s="27">
        <v>0</v>
      </c>
      <c r="D141" s="27">
        <v>0</v>
      </c>
      <c r="E141" s="28"/>
      <c r="F141" s="27"/>
      <c r="G141" s="2"/>
      <c r="H141" s="24">
        <v>2</v>
      </c>
      <c r="I141" s="24">
        <v>2</v>
      </c>
      <c r="J141" s="29"/>
      <c r="K141" s="91" t="str">
        <f t="shared" si="4"/>
        <v>NO REPORTA VERSION ACTUAL</v>
      </c>
      <c r="L141" s="25"/>
      <c r="M141" s="87"/>
      <c r="N141" s="39" t="s">
        <v>175</v>
      </c>
      <c r="O141" s="40">
        <v>35</v>
      </c>
      <c r="P141" s="40">
        <v>54</v>
      </c>
      <c r="Q141" s="40">
        <v>19</v>
      </c>
      <c r="R141" s="41"/>
      <c r="S141" s="40"/>
      <c r="T141" s="42"/>
      <c r="U141" s="72">
        <v>7</v>
      </c>
      <c r="V141" s="72">
        <v>-28</v>
      </c>
      <c r="W141" s="73"/>
      <c r="X141" s="97" t="str">
        <f t="shared" si="5"/>
        <v>TX1456998-00-ATH-1</v>
      </c>
      <c r="Y141" s="25"/>
    </row>
    <row r="142" spans="1:25">
      <c r="A142" s="30" t="s">
        <v>148</v>
      </c>
      <c r="B142" s="31">
        <v>0</v>
      </c>
      <c r="C142" s="31">
        <v>2</v>
      </c>
      <c r="D142" s="31">
        <v>2</v>
      </c>
      <c r="E142" s="32"/>
      <c r="F142" s="31"/>
      <c r="G142" s="42"/>
      <c r="H142" s="33">
        <v>15</v>
      </c>
      <c r="I142" s="33">
        <v>15</v>
      </c>
      <c r="J142" s="34"/>
      <c r="K142" s="91" t="str">
        <f t="shared" si="4"/>
        <v>NO REPORTA VERSION ACTUAL</v>
      </c>
      <c r="L142" s="25"/>
      <c r="M142" s="87"/>
    </row>
    <row r="143" spans="1:25">
      <c r="A143" s="43" t="s">
        <v>149</v>
      </c>
      <c r="B143" s="44">
        <v>10</v>
      </c>
      <c r="C143" s="44">
        <v>134</v>
      </c>
      <c r="D143" s="44">
        <v>124</v>
      </c>
      <c r="E143" s="45">
        <v>72</v>
      </c>
      <c r="F143" s="44"/>
      <c r="G143" s="21"/>
      <c r="H143" s="22">
        <v>0</v>
      </c>
      <c r="I143" s="22">
        <v>-10</v>
      </c>
      <c r="J143" s="23">
        <v>192</v>
      </c>
      <c r="K143" s="91" t="str">
        <f t="shared" si="4"/>
        <v>TX1066081-03-C_01</v>
      </c>
      <c r="L143" s="25"/>
      <c r="M143" s="87"/>
    </row>
    <row r="144" spans="1:25">
      <c r="A144" s="46" t="s">
        <v>150</v>
      </c>
      <c r="B144" s="47">
        <v>0</v>
      </c>
      <c r="C144" s="47">
        <v>5</v>
      </c>
      <c r="D144" s="47">
        <v>5</v>
      </c>
      <c r="E144" s="48"/>
      <c r="F144" s="47"/>
      <c r="G144" s="21"/>
      <c r="H144" s="24">
        <v>18</v>
      </c>
      <c r="I144" s="24">
        <v>18</v>
      </c>
      <c r="J144" s="29"/>
      <c r="K144" s="91" t="str">
        <f t="shared" si="4"/>
        <v>TX1066081-03-CB-1</v>
      </c>
      <c r="L144" s="25"/>
      <c r="M144" s="87"/>
    </row>
    <row r="145" spans="1:13">
      <c r="A145" s="46" t="s">
        <v>151</v>
      </c>
      <c r="B145" s="47">
        <v>2</v>
      </c>
      <c r="C145" s="47">
        <v>8</v>
      </c>
      <c r="D145" s="47">
        <v>6</v>
      </c>
      <c r="E145" s="48"/>
      <c r="F145" s="47"/>
      <c r="G145" s="38"/>
      <c r="H145" s="24">
        <v>64</v>
      </c>
      <c r="I145" s="24">
        <v>62</v>
      </c>
      <c r="J145" s="29"/>
      <c r="K145" s="91" t="str">
        <f t="shared" si="4"/>
        <v>TX1066081-03-CT-1</v>
      </c>
      <c r="L145" s="25"/>
      <c r="M145" s="87"/>
    </row>
    <row r="146" spans="1:13">
      <c r="A146" s="49" t="s">
        <v>152</v>
      </c>
      <c r="B146" s="50">
        <v>73</v>
      </c>
      <c r="C146" s="50">
        <v>10</v>
      </c>
      <c r="D146" s="50">
        <v>-63</v>
      </c>
      <c r="E146" s="51"/>
      <c r="F146" s="50"/>
      <c r="G146" s="42"/>
      <c r="H146" s="33">
        <v>195</v>
      </c>
      <c r="I146" s="33">
        <v>122</v>
      </c>
      <c r="J146" s="34"/>
      <c r="K146" s="91" t="str">
        <f t="shared" si="4"/>
        <v>TX1066081-03-CTH-1</v>
      </c>
      <c r="L146" s="25"/>
      <c r="M146" s="87"/>
    </row>
    <row r="147" spans="1:13">
      <c r="A147" s="65" t="s">
        <v>153</v>
      </c>
      <c r="B147" s="66">
        <v>0</v>
      </c>
      <c r="C147" s="66">
        <v>0</v>
      </c>
      <c r="D147" s="66">
        <v>0</v>
      </c>
      <c r="E147" s="67">
        <v>0</v>
      </c>
      <c r="F147" s="66"/>
      <c r="G147" s="21"/>
      <c r="H147" s="62">
        <v>1</v>
      </c>
      <c r="I147" s="62">
        <v>1</v>
      </c>
      <c r="J147" s="63">
        <v>1</v>
      </c>
      <c r="K147" s="91" t="str">
        <f t="shared" si="4"/>
        <v>NO REPORTA VERSION ACTUAL</v>
      </c>
      <c r="L147" s="25"/>
      <c r="M147" s="87"/>
    </row>
    <row r="148" spans="1:13">
      <c r="A148" s="43" t="s">
        <v>154</v>
      </c>
      <c r="B148" s="44">
        <v>29</v>
      </c>
      <c r="C148" s="44">
        <v>0</v>
      </c>
      <c r="D148" s="44">
        <v>-29</v>
      </c>
      <c r="E148" s="45">
        <v>-32</v>
      </c>
      <c r="F148" s="44"/>
      <c r="G148" s="38"/>
      <c r="H148" s="22">
        <v>0</v>
      </c>
      <c r="I148" s="22">
        <v>-29</v>
      </c>
      <c r="J148" s="23">
        <v>-29</v>
      </c>
      <c r="K148" s="91" t="str">
        <f t="shared" si="4"/>
        <v>NO REPORTA VERSION ACTUAL</v>
      </c>
      <c r="L148" s="25"/>
      <c r="M148" s="87"/>
    </row>
    <row r="149" spans="1:13">
      <c r="A149" s="49" t="s">
        <v>155</v>
      </c>
      <c r="B149" s="50">
        <v>3</v>
      </c>
      <c r="C149" s="50">
        <v>0</v>
      </c>
      <c r="D149" s="50">
        <v>-3</v>
      </c>
      <c r="E149" s="51"/>
      <c r="F149" s="50"/>
      <c r="G149" s="42"/>
      <c r="H149" s="33">
        <v>3</v>
      </c>
      <c r="I149" s="33">
        <v>0</v>
      </c>
      <c r="J149" s="34"/>
      <c r="K149" s="91" t="str">
        <f t="shared" si="4"/>
        <v>NO REPORTA VERSION ACTUAL</v>
      </c>
      <c r="L149" s="25"/>
      <c r="M149" s="87"/>
    </row>
    <row r="150" spans="1:13">
      <c r="A150" s="43" t="s">
        <v>156</v>
      </c>
      <c r="B150" s="44">
        <v>106</v>
      </c>
      <c r="C150" s="44">
        <v>150</v>
      </c>
      <c r="D150" s="44">
        <v>44</v>
      </c>
      <c r="E150" s="45">
        <v>-46</v>
      </c>
      <c r="F150" s="44"/>
      <c r="G150" s="21"/>
      <c r="H150" s="22">
        <v>56</v>
      </c>
      <c r="I150" s="22">
        <v>-50</v>
      </c>
      <c r="J150" s="23">
        <v>448</v>
      </c>
      <c r="K150" s="91" t="str">
        <f t="shared" si="4"/>
        <v>TX1085638-01-C_01</v>
      </c>
      <c r="L150" s="25"/>
      <c r="M150" s="87"/>
    </row>
    <row r="151" spans="1:13">
      <c r="A151" s="46" t="s">
        <v>157</v>
      </c>
      <c r="B151" s="47">
        <v>0</v>
      </c>
      <c r="C151" s="47">
        <v>0</v>
      </c>
      <c r="D151" s="47">
        <v>0</v>
      </c>
      <c r="E151" s="48"/>
      <c r="F151" s="47"/>
      <c r="G151" s="21"/>
      <c r="H151" s="24">
        <v>12</v>
      </c>
      <c r="I151" s="24">
        <v>12</v>
      </c>
      <c r="J151" s="29"/>
      <c r="K151" s="91" t="str">
        <f t="shared" si="4"/>
        <v>TX1085638-01-CB-1</v>
      </c>
      <c r="L151" s="25"/>
      <c r="M151" s="87"/>
    </row>
    <row r="152" spans="1:13">
      <c r="A152" s="49" t="s">
        <v>158</v>
      </c>
      <c r="B152" s="50">
        <v>90</v>
      </c>
      <c r="C152" s="50">
        <v>0</v>
      </c>
      <c r="D152" s="50">
        <v>-90</v>
      </c>
      <c r="E152" s="51"/>
      <c r="F152" s="50"/>
      <c r="G152" s="21"/>
      <c r="H152" s="33">
        <v>576</v>
      </c>
      <c r="I152" s="33">
        <v>486</v>
      </c>
      <c r="J152" s="34"/>
      <c r="K152" s="91" t="str">
        <f t="shared" si="4"/>
        <v>TX1085638-01-CTH-1</v>
      </c>
      <c r="L152" s="25"/>
      <c r="M152" s="87"/>
    </row>
    <row r="153" spans="1:13">
      <c r="A153" s="18" t="s">
        <v>159</v>
      </c>
      <c r="B153" s="19">
        <v>29</v>
      </c>
      <c r="C153" s="19">
        <v>65</v>
      </c>
      <c r="D153" s="19">
        <v>36</v>
      </c>
      <c r="E153" s="20">
        <v>6</v>
      </c>
      <c r="F153" s="19"/>
      <c r="G153" s="38"/>
      <c r="H153" s="22">
        <v>0</v>
      </c>
      <c r="I153" s="22">
        <v>-29</v>
      </c>
      <c r="J153" s="23">
        <v>39</v>
      </c>
      <c r="K153" s="91" t="str">
        <f t="shared" si="4"/>
        <v>TX1100618-01-A_01</v>
      </c>
      <c r="L153" s="25"/>
      <c r="M153" s="87"/>
    </row>
    <row r="154" spans="1:13">
      <c r="A154" s="26" t="s">
        <v>160</v>
      </c>
      <c r="B154" s="27">
        <v>0</v>
      </c>
      <c r="C154" s="27">
        <v>14</v>
      </c>
      <c r="D154" s="27">
        <v>14</v>
      </c>
      <c r="E154" s="28"/>
      <c r="F154" s="27"/>
      <c r="G154" s="2"/>
      <c r="H154" s="24">
        <v>14</v>
      </c>
      <c r="I154" s="24">
        <v>14</v>
      </c>
      <c r="J154" s="29"/>
      <c r="K154" s="91" t="str">
        <f t="shared" si="4"/>
        <v>NO REPORTA VERSION ACTUAL</v>
      </c>
      <c r="L154" s="25"/>
      <c r="M154" s="87"/>
    </row>
    <row r="155" spans="1:13">
      <c r="A155" s="30" t="s">
        <v>161</v>
      </c>
      <c r="B155" s="31">
        <v>44</v>
      </c>
      <c r="C155" s="31">
        <v>0</v>
      </c>
      <c r="D155" s="31">
        <v>-44</v>
      </c>
      <c r="E155" s="32"/>
      <c r="F155" s="31"/>
      <c r="G155" s="42"/>
      <c r="H155" s="33">
        <v>98</v>
      </c>
      <c r="I155" s="33">
        <v>54</v>
      </c>
      <c r="J155" s="34"/>
      <c r="K155" s="91" t="str">
        <f t="shared" si="4"/>
        <v>TX1100618-01-ATH-1</v>
      </c>
      <c r="L155" s="25"/>
      <c r="M155" s="87"/>
    </row>
    <row r="156" spans="1:13">
      <c r="A156" s="43" t="s">
        <v>162</v>
      </c>
      <c r="B156" s="44">
        <v>27</v>
      </c>
      <c r="C156" s="44">
        <v>0</v>
      </c>
      <c r="D156" s="44">
        <v>-27</v>
      </c>
      <c r="E156" s="45">
        <f>D156:D157</f>
        <v>-27</v>
      </c>
      <c r="F156" s="44"/>
      <c r="G156" s="38"/>
      <c r="H156" s="22">
        <v>0</v>
      </c>
      <c r="I156" s="22">
        <v>-27</v>
      </c>
      <c r="J156" s="23">
        <v>57</v>
      </c>
      <c r="K156" s="91" t="str">
        <f t="shared" si="4"/>
        <v>TX1129901-00-ATH-1</v>
      </c>
      <c r="L156" s="25"/>
      <c r="M156" s="87"/>
    </row>
    <row r="157" spans="1:13">
      <c r="A157" s="46" t="s">
        <v>162</v>
      </c>
      <c r="B157" s="47">
        <v>0</v>
      </c>
      <c r="C157" s="47">
        <v>0</v>
      </c>
      <c r="D157" s="47">
        <v>0</v>
      </c>
      <c r="E157" s="48"/>
      <c r="F157" s="47"/>
      <c r="G157" s="2"/>
      <c r="H157" s="24">
        <v>0</v>
      </c>
      <c r="I157" s="24">
        <v>0</v>
      </c>
      <c r="J157" s="29"/>
      <c r="K157" s="91" t="str">
        <f t="shared" si="4"/>
        <v>TX1129901-00-ATH-1</v>
      </c>
      <c r="L157" s="25"/>
      <c r="M157" s="87"/>
    </row>
    <row r="158" spans="1:13">
      <c r="A158" s="43" t="s">
        <v>163</v>
      </c>
      <c r="B158" s="44">
        <v>0</v>
      </c>
      <c r="C158" s="44">
        <v>0</v>
      </c>
      <c r="D158" s="44">
        <v>0</v>
      </c>
      <c r="E158" s="45">
        <f>SUM(D158:D159)</f>
        <v>-30</v>
      </c>
      <c r="F158" s="92"/>
      <c r="G158" s="2"/>
      <c r="H158" s="24">
        <v>6</v>
      </c>
      <c r="I158" s="24">
        <v>6</v>
      </c>
      <c r="J158" s="29"/>
      <c r="K158" s="91" t="str">
        <f t="shared" si="4"/>
        <v>TX1129903-00-AT-1</v>
      </c>
      <c r="L158" s="25"/>
      <c r="M158" s="87"/>
    </row>
    <row r="159" spans="1:13">
      <c r="A159" s="49" t="s">
        <v>164</v>
      </c>
      <c r="B159" s="50">
        <v>30</v>
      </c>
      <c r="C159" s="50">
        <v>0</v>
      </c>
      <c r="D159" s="50">
        <v>-30</v>
      </c>
      <c r="E159" s="51"/>
      <c r="F159" s="96"/>
      <c r="G159" s="42"/>
      <c r="H159" s="33">
        <v>108</v>
      </c>
      <c r="I159" s="33">
        <v>78</v>
      </c>
      <c r="J159" s="34"/>
      <c r="K159" s="91" t="str">
        <f t="shared" si="4"/>
        <v>TX1129903-00-ATH-1</v>
      </c>
      <c r="L159" s="25"/>
      <c r="M159" s="87"/>
    </row>
    <row r="160" spans="1:13">
      <c r="A160" s="18" t="s">
        <v>165</v>
      </c>
      <c r="B160" s="19">
        <v>64</v>
      </c>
      <c r="C160" s="19">
        <v>670</v>
      </c>
      <c r="D160" s="19">
        <v>606</v>
      </c>
      <c r="E160" s="20">
        <v>55</v>
      </c>
      <c r="F160" s="19"/>
      <c r="G160" s="38"/>
      <c r="H160" s="22">
        <v>0</v>
      </c>
      <c r="I160" s="22">
        <v>-64</v>
      </c>
      <c r="J160" s="37">
        <v>-659</v>
      </c>
      <c r="K160" s="91" t="str">
        <f t="shared" si="4"/>
        <v>TX1449781-00-A_02</v>
      </c>
      <c r="L160" s="25"/>
      <c r="M160" s="87"/>
    </row>
    <row r="161" spans="1:13">
      <c r="A161" s="26" t="s">
        <v>166</v>
      </c>
      <c r="B161" s="27">
        <v>15</v>
      </c>
      <c r="C161" s="27">
        <v>0</v>
      </c>
      <c r="D161" s="27">
        <v>-15</v>
      </c>
      <c r="E161" s="28"/>
      <c r="F161" s="27"/>
      <c r="G161" s="2"/>
      <c r="H161" s="24">
        <v>0</v>
      </c>
      <c r="I161" s="24">
        <v>-15</v>
      </c>
      <c r="J161" s="57"/>
      <c r="K161" s="91" t="str">
        <f t="shared" si="4"/>
        <v>TX1449781-00-AB-2</v>
      </c>
      <c r="L161" s="25"/>
      <c r="M161" s="87"/>
    </row>
    <row r="162" spans="1:13">
      <c r="A162" s="26" t="s">
        <v>167</v>
      </c>
      <c r="B162" s="27">
        <v>3</v>
      </c>
      <c r="C162" s="27">
        <v>12</v>
      </c>
      <c r="D162" s="27">
        <v>9</v>
      </c>
      <c r="E162" s="28"/>
      <c r="F162" s="27"/>
      <c r="G162" s="2"/>
      <c r="H162" s="24">
        <v>0</v>
      </c>
      <c r="I162" s="24">
        <v>-3</v>
      </c>
      <c r="J162" s="57"/>
      <c r="K162" s="91" t="str">
        <f t="shared" si="4"/>
        <v>TX1449781-00-AT-2</v>
      </c>
      <c r="L162" s="25"/>
      <c r="M162" s="87"/>
    </row>
    <row r="163" spans="1:13">
      <c r="A163" s="30" t="s">
        <v>168</v>
      </c>
      <c r="B163" s="31">
        <v>577</v>
      </c>
      <c r="C163" s="31">
        <v>32</v>
      </c>
      <c r="D163" s="31">
        <v>-545</v>
      </c>
      <c r="E163" s="32"/>
      <c r="F163" s="31"/>
      <c r="G163" s="42"/>
      <c r="H163" s="33">
        <v>0</v>
      </c>
      <c r="I163" s="33">
        <v>-577</v>
      </c>
      <c r="J163" s="41"/>
      <c r="K163" s="91" t="str">
        <f t="shared" si="4"/>
        <v>TX1449781-00-ATH-2</v>
      </c>
      <c r="L163" s="25"/>
      <c r="M163" s="87"/>
    </row>
    <row r="164" spans="1:13">
      <c r="A164" s="59" t="s">
        <v>169</v>
      </c>
      <c r="B164" s="60">
        <v>6</v>
      </c>
      <c r="C164" s="60">
        <v>5</v>
      </c>
      <c r="D164" s="60">
        <v>-1</v>
      </c>
      <c r="E164" s="61">
        <v>-1</v>
      </c>
      <c r="F164" s="60"/>
      <c r="G164" s="21"/>
      <c r="H164" s="62">
        <v>0</v>
      </c>
      <c r="I164" s="62">
        <v>-6</v>
      </c>
      <c r="J164" s="63">
        <v>-6</v>
      </c>
      <c r="K164" s="91" t="str">
        <f t="shared" si="4"/>
        <v>NO REPORTA VERSION ACTUAL</v>
      </c>
      <c r="L164" s="25"/>
      <c r="M164" s="87"/>
    </row>
    <row r="165" spans="1:13">
      <c r="A165" s="43" t="s">
        <v>170</v>
      </c>
      <c r="B165" s="44">
        <v>117</v>
      </c>
      <c r="C165" s="44">
        <v>583</v>
      </c>
      <c r="D165" s="44">
        <v>466</v>
      </c>
      <c r="E165" s="45">
        <v>183</v>
      </c>
      <c r="F165" s="44"/>
      <c r="G165" s="38"/>
      <c r="H165" s="22">
        <v>0</v>
      </c>
      <c r="I165" s="22">
        <v>-117</v>
      </c>
      <c r="J165" s="23">
        <v>-571</v>
      </c>
      <c r="K165" s="91" t="str">
        <f t="shared" si="4"/>
        <v>TX1454671-00-A_02</v>
      </c>
      <c r="L165" s="25"/>
      <c r="M165" s="87"/>
    </row>
    <row r="166" spans="1:13">
      <c r="A166" s="46" t="s">
        <v>171</v>
      </c>
      <c r="B166" s="47">
        <v>2</v>
      </c>
      <c r="C166" s="47">
        <v>169</v>
      </c>
      <c r="D166" s="47">
        <v>167</v>
      </c>
      <c r="E166" s="48"/>
      <c r="F166" s="47"/>
      <c r="G166" s="2"/>
      <c r="H166" s="24">
        <v>0</v>
      </c>
      <c r="I166" s="24">
        <v>-2</v>
      </c>
      <c r="J166" s="29"/>
      <c r="K166" s="91" t="str">
        <f t="shared" si="4"/>
        <v>TX1454671-00-AT-2</v>
      </c>
      <c r="L166" s="25"/>
      <c r="M166" s="87"/>
    </row>
    <row r="167" spans="1:13">
      <c r="A167" s="49" t="s">
        <v>172</v>
      </c>
      <c r="B167" s="50">
        <v>452</v>
      </c>
      <c r="C167" s="50">
        <v>2</v>
      </c>
      <c r="D167" s="50">
        <v>-450</v>
      </c>
      <c r="E167" s="51"/>
      <c r="F167" s="50"/>
      <c r="G167" s="42"/>
      <c r="H167" s="33">
        <v>0</v>
      </c>
      <c r="I167" s="33">
        <v>-452</v>
      </c>
      <c r="J167" s="34"/>
      <c r="K167" s="91" t="str">
        <f t="shared" si="4"/>
        <v>TX1454671-00-ATH-2</v>
      </c>
      <c r="L167" s="25"/>
      <c r="M167" s="87"/>
    </row>
    <row r="168" spans="1:13">
      <c r="A168" s="35" t="s">
        <v>173</v>
      </c>
      <c r="B168" s="36">
        <v>22</v>
      </c>
      <c r="C168" s="36">
        <v>34</v>
      </c>
      <c r="D168" s="36">
        <v>12</v>
      </c>
      <c r="E168" s="37">
        <v>238</v>
      </c>
      <c r="F168" s="36"/>
      <c r="G168" s="38"/>
      <c r="H168" s="22">
        <v>0</v>
      </c>
      <c r="I168" s="22">
        <v>-22</v>
      </c>
      <c r="J168" s="23">
        <v>-63</v>
      </c>
      <c r="K168" s="91" t="str">
        <f t="shared" si="4"/>
        <v>TX1456998-00-A_01</v>
      </c>
      <c r="L168" s="25"/>
      <c r="M168" s="87"/>
    </row>
    <row r="169" spans="1:13">
      <c r="A169" s="55" t="s">
        <v>174</v>
      </c>
      <c r="B169" s="56">
        <v>6</v>
      </c>
      <c r="C169" s="56">
        <v>213</v>
      </c>
      <c r="D169" s="56">
        <v>207</v>
      </c>
      <c r="E169" s="57"/>
      <c r="F169" s="56"/>
      <c r="G169" s="2"/>
      <c r="H169" s="24">
        <v>0</v>
      </c>
      <c r="I169" s="24">
        <v>-6</v>
      </c>
      <c r="J169" s="29"/>
      <c r="K169" s="91" t="str">
        <f t="shared" si="4"/>
        <v>TX1456998-00-AT-1</v>
      </c>
      <c r="L169" s="25"/>
      <c r="M169" s="87"/>
    </row>
    <row r="170" spans="1:13">
      <c r="A170" s="39" t="s">
        <v>175</v>
      </c>
      <c r="B170" s="40">
        <v>35</v>
      </c>
      <c r="C170" s="40">
        <v>54</v>
      </c>
      <c r="D170" s="40">
        <v>19</v>
      </c>
      <c r="E170" s="41"/>
      <c r="F170" s="40"/>
      <c r="G170" s="42"/>
      <c r="H170" s="33">
        <v>0</v>
      </c>
      <c r="I170" s="33">
        <v>-35</v>
      </c>
      <c r="J170" s="34"/>
      <c r="K170" s="91" t="str">
        <f t="shared" si="4"/>
        <v>TX1456998-00-ATH-1</v>
      </c>
      <c r="L170" s="25"/>
      <c r="M170" s="87"/>
    </row>
    <row r="171" spans="1:13">
      <c r="A171" s="65" t="s">
        <v>176</v>
      </c>
      <c r="B171" s="66">
        <v>31</v>
      </c>
      <c r="C171" s="66">
        <v>2</v>
      </c>
      <c r="D171" s="66">
        <v>-29</v>
      </c>
      <c r="E171" s="67">
        <v>-29</v>
      </c>
      <c r="F171" s="66"/>
      <c r="G171" s="21"/>
      <c r="H171" s="62">
        <v>0</v>
      </c>
      <c r="I171" s="62">
        <v>-31</v>
      </c>
      <c r="J171" s="63">
        <v>-31</v>
      </c>
      <c r="K171" s="91" t="str">
        <f t="shared" si="4"/>
        <v>NO REPORTA VERSION ACTUAL</v>
      </c>
      <c r="L171" s="25"/>
      <c r="M171" s="87"/>
    </row>
    <row r="172" spans="1:13">
      <c r="A172" s="65" t="s">
        <v>177</v>
      </c>
      <c r="B172" s="66">
        <v>5</v>
      </c>
      <c r="C172" s="66">
        <v>17</v>
      </c>
      <c r="D172" s="66">
        <v>12</v>
      </c>
      <c r="E172" s="67">
        <v>12</v>
      </c>
      <c r="F172" s="66"/>
      <c r="G172" s="21"/>
      <c r="H172" s="62">
        <v>0</v>
      </c>
      <c r="I172" s="62">
        <v>-5</v>
      </c>
      <c r="J172" s="63">
        <v>-5</v>
      </c>
      <c r="K172" s="91" t="str">
        <f t="shared" si="4"/>
        <v>NO REPORTA VERSION ACTUAL</v>
      </c>
      <c r="L172" s="25"/>
      <c r="M172" s="87"/>
    </row>
  </sheetData>
  <autoFilter ref="N4:W4" xr:uid="{1AE8B896-8F47-4E46-B32F-CA1CB37071FC}">
    <sortState ref="N5:W141">
      <sortCondition ref="N4"/>
    </sortState>
  </autoFilter>
  <mergeCells count="6">
    <mergeCell ref="H2:J2"/>
    <mergeCell ref="H3:I3"/>
    <mergeCell ref="U2:W2"/>
    <mergeCell ref="U3:V3"/>
    <mergeCell ref="A1:L1"/>
    <mergeCell ref="N1:Y1"/>
  </mergeCells>
  <conditionalFormatting sqref="K5:K172">
    <cfRule type="containsText" dxfId="3" priority="2" operator="containsText" text="NO REPORTA VERSION ACTUAL">
      <formula>NOT(ISERROR(SEARCH("NO REPORTA VERSION ACTUAL",K5)))</formula>
    </cfRule>
    <cfRule type="containsText" priority="3" operator="containsText" text="NO REPORTA VERSION ACTUAL">
      <formula>NOT(ISERROR(SEARCH("NO REPORTA VERSION ACTUAL",K5)))</formula>
    </cfRule>
  </conditionalFormatting>
  <conditionalFormatting sqref="X5:X141">
    <cfRule type="containsText" dxfId="2" priority="1" operator="containsText" text="NO REPORTA VERSION ANTERIOR">
      <formula>NOT(ISERROR(SEARCH("NO REPORTA VERSION ANTERIOR",X5)))</formula>
    </cfRule>
  </conditionalFormatting>
  <pageMargins left="0.7" right="0.7" top="0.75" bottom="0.75" header="0.3" footer="0.3"/>
  <pageSetup orientation="portrait" r:id="rId1"/>
  <ignoredErrors>
    <ignoredError sqref="E156 E158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97E3E-E174-4FCC-B022-213E4FF6A882}">
  <dimension ref="A1:P316"/>
  <sheetViews>
    <sheetView showGridLines="0" topLeftCell="A115" workbookViewId="0">
      <selection activeCell="J13" sqref="J13"/>
    </sheetView>
  </sheetViews>
  <sheetFormatPr defaultRowHeight="15"/>
  <cols>
    <col min="1" max="1" width="21.140625" bestFit="1" customWidth="1"/>
    <col min="3" max="3" width="9.7109375" bestFit="1" customWidth="1"/>
    <col min="4" max="4" width="6.7109375" bestFit="1" customWidth="1"/>
    <col min="5" max="5" width="6" bestFit="1" customWidth="1"/>
    <col min="6" max="6" width="15" bestFit="1" customWidth="1"/>
    <col min="7" max="7" width="18.140625" bestFit="1" customWidth="1"/>
    <col min="8" max="8" width="3.85546875" customWidth="1"/>
    <col min="9" max="9" width="16.85546875" customWidth="1"/>
    <col min="10" max="10" width="37.140625" style="99" bestFit="1" customWidth="1"/>
    <col min="11" max="11" width="19.85546875" bestFit="1" customWidth="1"/>
    <col min="12" max="12" width="8" bestFit="1" customWidth="1"/>
    <col min="13" max="13" width="8.42578125" bestFit="1" customWidth="1"/>
    <col min="14" max="14" width="5.7109375" bestFit="1" customWidth="1"/>
    <col min="15" max="15" width="5.5703125" bestFit="1" customWidth="1"/>
    <col min="16" max="16" width="20" bestFit="1" customWidth="1"/>
  </cols>
  <sheetData>
    <row r="1" spans="1:16" ht="15" customHeight="1" thickBot="1">
      <c r="A1" s="98" t="s">
        <v>190</v>
      </c>
      <c r="H1" s="83"/>
      <c r="K1" s="100" t="s">
        <v>191</v>
      </c>
    </row>
    <row r="2" spans="1:16" ht="15" customHeight="1" thickBot="1">
      <c r="A2" s="101" t="s">
        <v>4</v>
      </c>
      <c r="B2" s="102" t="s">
        <v>5</v>
      </c>
      <c r="C2" s="102" t="s">
        <v>9</v>
      </c>
      <c r="D2" s="102" t="s">
        <v>10</v>
      </c>
      <c r="E2" s="102" t="s">
        <v>192</v>
      </c>
      <c r="F2" s="103" t="s">
        <v>193</v>
      </c>
      <c r="G2" s="104" t="s">
        <v>0</v>
      </c>
      <c r="H2" s="83"/>
      <c r="I2" s="105" t="s">
        <v>0</v>
      </c>
      <c r="J2" s="106" t="s">
        <v>194</v>
      </c>
      <c r="K2" s="107" t="s">
        <v>4</v>
      </c>
      <c r="L2" s="107" t="s">
        <v>5</v>
      </c>
      <c r="M2" s="107" t="s">
        <v>9</v>
      </c>
      <c r="N2" s="107" t="s">
        <v>10</v>
      </c>
      <c r="O2" s="107" t="s">
        <v>192</v>
      </c>
      <c r="P2" s="108" t="s">
        <v>193</v>
      </c>
    </row>
    <row r="3" spans="1:16" ht="15" customHeight="1" thickBot="1">
      <c r="A3" s="109" t="s">
        <v>11</v>
      </c>
      <c r="B3" s="109">
        <v>51</v>
      </c>
      <c r="C3" s="110">
        <v>66</v>
      </c>
      <c r="D3" s="109">
        <v>15</v>
      </c>
      <c r="E3" s="111">
        <v>0.22</v>
      </c>
      <c r="F3" s="112">
        <v>43361.257094907407</v>
      </c>
      <c r="G3" s="113">
        <f>SUM(D3:D150)</f>
        <v>237788</v>
      </c>
      <c r="H3" s="83"/>
      <c r="I3" s="114">
        <f>SUM(N3:N189)</f>
        <v>16962</v>
      </c>
      <c r="J3" s="115" t="str">
        <f>IFERROR(VLOOKUP(K3,$A:$A,1,0),"NO REPORTA EN VERSION ACTUALIZADA")</f>
        <v>NO REPORTA EN VERSION ACTUALIZADA</v>
      </c>
      <c r="K3" s="116" t="s">
        <v>195</v>
      </c>
      <c r="L3" s="116">
        <v>13</v>
      </c>
      <c r="M3" s="116">
        <v>0</v>
      </c>
      <c r="N3" s="116">
        <v>-13</v>
      </c>
      <c r="O3" s="116" t="s">
        <v>196</v>
      </c>
      <c r="P3" s="116" t="s">
        <v>197</v>
      </c>
    </row>
    <row r="4" spans="1:16" ht="15" customHeight="1" thickBot="1">
      <c r="A4" s="109" t="s">
        <v>13</v>
      </c>
      <c r="B4" s="109">
        <v>3</v>
      </c>
      <c r="C4" s="110">
        <v>12</v>
      </c>
      <c r="D4" s="109">
        <v>9</v>
      </c>
      <c r="E4" s="111">
        <v>0.75</v>
      </c>
      <c r="F4" s="112">
        <v>43361.257094907407</v>
      </c>
      <c r="G4" s="129" t="s">
        <v>198</v>
      </c>
      <c r="H4" s="130"/>
      <c r="I4" s="131"/>
      <c r="J4" s="115" t="str">
        <f>IFERROR(VLOOKUP(K4,$A:$A,1,0),"NO REPORTA EN VERSION ACTUALIZADA")</f>
        <v>NO REPORTA EN VERSION ACTUALIZADA</v>
      </c>
      <c r="K4" s="116" t="s">
        <v>199</v>
      </c>
      <c r="L4" s="116">
        <v>5</v>
      </c>
      <c r="M4" s="116">
        <v>0</v>
      </c>
      <c r="N4" s="116">
        <v>-5</v>
      </c>
      <c r="O4" s="116" t="s">
        <v>196</v>
      </c>
      <c r="P4" s="116" t="s">
        <v>197</v>
      </c>
    </row>
    <row r="5" spans="1:16" ht="15" customHeight="1" thickBot="1">
      <c r="A5" s="109" t="s">
        <v>14</v>
      </c>
      <c r="B5" s="109">
        <v>17</v>
      </c>
      <c r="C5" s="110">
        <v>18</v>
      </c>
      <c r="D5" s="109">
        <v>1</v>
      </c>
      <c r="E5" s="111">
        <v>0.05</v>
      </c>
      <c r="F5" s="112">
        <v>43361.257094907407</v>
      </c>
      <c r="G5" s="132" t="s">
        <v>200</v>
      </c>
      <c r="H5" s="133" t="s">
        <v>201</v>
      </c>
      <c r="I5" s="134"/>
      <c r="J5" s="115" t="str">
        <f>IFERROR(VLOOKUP(K5,$A:$A,1,0),"NO REPORTA EN VERSION ACTUALIZADA")</f>
        <v>NO REPORTA EN VERSION ACTUALIZADA</v>
      </c>
      <c r="K5" s="116" t="s">
        <v>202</v>
      </c>
      <c r="L5" s="116">
        <v>9</v>
      </c>
      <c r="M5" s="116">
        <v>0</v>
      </c>
      <c r="N5" s="116">
        <v>-9</v>
      </c>
      <c r="O5" s="116" t="s">
        <v>196</v>
      </c>
      <c r="P5" s="116" t="s">
        <v>197</v>
      </c>
    </row>
    <row r="6" spans="1:16" ht="15" customHeight="1">
      <c r="A6" s="109" t="s">
        <v>15</v>
      </c>
      <c r="B6" s="109">
        <v>42</v>
      </c>
      <c r="C6" s="110">
        <v>3</v>
      </c>
      <c r="D6" s="109">
        <v>-39</v>
      </c>
      <c r="E6" s="111">
        <v>0.92</v>
      </c>
      <c r="F6" s="112">
        <v>43361.257094907407</v>
      </c>
      <c r="G6" s="117" t="s">
        <v>48</v>
      </c>
      <c r="H6" s="127">
        <v>15314</v>
      </c>
      <c r="I6" s="121"/>
      <c r="J6" s="115" t="str">
        <f>IFERROR(VLOOKUP(K6,$A:$A,1,0),"NO REPORTA EN VERSION ACTUALIZADA")</f>
        <v>TX1004318-00-G_02</v>
      </c>
      <c r="K6" s="24" t="s">
        <v>11</v>
      </c>
      <c r="L6" s="24">
        <v>51</v>
      </c>
      <c r="M6" s="24">
        <v>0</v>
      </c>
      <c r="N6" s="24">
        <v>-51</v>
      </c>
      <c r="O6" s="24" t="s">
        <v>196</v>
      </c>
      <c r="P6" s="24" t="s">
        <v>197</v>
      </c>
    </row>
    <row r="7" spans="1:16" ht="15" customHeight="1">
      <c r="A7" s="109" t="s">
        <v>16</v>
      </c>
      <c r="B7" s="109">
        <v>8</v>
      </c>
      <c r="C7" s="110">
        <v>8</v>
      </c>
      <c r="D7" s="109">
        <v>0</v>
      </c>
      <c r="E7" s="111">
        <v>0</v>
      </c>
      <c r="F7" s="112">
        <v>43361.257094907407</v>
      </c>
      <c r="G7" s="118" t="s">
        <v>57</v>
      </c>
      <c r="H7" s="125">
        <v>89490</v>
      </c>
      <c r="I7" s="122"/>
      <c r="J7" s="115" t="str">
        <f>IFERROR(VLOOKUP(K7,$A:$A,1,0),"NO REPORTA EN VERSION ACTUALIZADA")</f>
        <v>NO REPORTA EN VERSION ACTUALIZADA</v>
      </c>
      <c r="K7" s="116" t="s">
        <v>12</v>
      </c>
      <c r="L7" s="116">
        <v>1</v>
      </c>
      <c r="M7" s="116">
        <v>25</v>
      </c>
      <c r="N7" s="116">
        <v>24</v>
      </c>
      <c r="O7" s="116" t="s">
        <v>203</v>
      </c>
      <c r="P7" s="116" t="s">
        <v>197</v>
      </c>
    </row>
    <row r="8" spans="1:16" ht="15" customHeight="1">
      <c r="A8" s="109" t="s">
        <v>17</v>
      </c>
      <c r="B8" s="109">
        <v>3</v>
      </c>
      <c r="C8" s="110">
        <v>1</v>
      </c>
      <c r="D8" s="109">
        <v>-2</v>
      </c>
      <c r="E8" s="111">
        <v>0.66</v>
      </c>
      <c r="F8" s="112">
        <v>43361.257094907407</v>
      </c>
      <c r="G8" s="118" t="s">
        <v>81</v>
      </c>
      <c r="H8" s="126">
        <v>41974</v>
      </c>
      <c r="I8" s="123"/>
      <c r="J8" s="115" t="str">
        <f>IFERROR(VLOOKUP(K8,$A:$A,1,0),"NO REPORTA EN VERSION ACTUALIZADA")</f>
        <v>TX1004318-00-GT-2</v>
      </c>
      <c r="K8" s="24" t="s">
        <v>13</v>
      </c>
      <c r="L8" s="24">
        <v>3</v>
      </c>
      <c r="M8" s="24">
        <v>25</v>
      </c>
      <c r="N8" s="24">
        <v>22</v>
      </c>
      <c r="O8" s="24" t="s">
        <v>204</v>
      </c>
      <c r="P8" s="24" t="s">
        <v>197</v>
      </c>
    </row>
    <row r="9" spans="1:16" ht="15" customHeight="1">
      <c r="A9" s="109" t="s">
        <v>18</v>
      </c>
      <c r="B9" s="109">
        <v>119</v>
      </c>
      <c r="C9" s="110">
        <v>146</v>
      </c>
      <c r="D9" s="109">
        <v>27</v>
      </c>
      <c r="E9" s="111">
        <v>0.18</v>
      </c>
      <c r="F9" s="112">
        <v>43361.257094907407</v>
      </c>
      <c r="G9" s="118" t="s">
        <v>95</v>
      </c>
      <c r="H9" s="126">
        <v>52861</v>
      </c>
      <c r="I9" s="123"/>
      <c r="J9" s="115" t="str">
        <f>IFERROR(VLOOKUP(K9,$A:$A,1,0),"NO REPORTA EN VERSION ACTUALIZADA")</f>
        <v>TX1004318-00-GTH-2</v>
      </c>
      <c r="K9" s="24" t="s">
        <v>14</v>
      </c>
      <c r="L9" s="24">
        <v>17</v>
      </c>
      <c r="M9" s="24">
        <v>197</v>
      </c>
      <c r="N9" s="24">
        <v>180</v>
      </c>
      <c r="O9" s="24" t="s">
        <v>205</v>
      </c>
      <c r="P9" s="24" t="s">
        <v>197</v>
      </c>
    </row>
    <row r="10" spans="1:16" ht="15" customHeight="1">
      <c r="A10" s="109" t="s">
        <v>19</v>
      </c>
      <c r="B10" s="109">
        <v>172</v>
      </c>
      <c r="C10" s="110">
        <v>336</v>
      </c>
      <c r="D10" s="109">
        <v>164</v>
      </c>
      <c r="E10" s="111">
        <v>0.48</v>
      </c>
      <c r="F10" s="112">
        <v>43361.257094907407</v>
      </c>
      <c r="G10" s="118" t="s">
        <v>125</v>
      </c>
      <c r="H10" s="126">
        <v>5178</v>
      </c>
      <c r="I10" s="123"/>
      <c r="J10" s="115" t="str">
        <f>IFERROR(VLOOKUP(K10,$A:$A,1,0),"NO REPORTA EN VERSION ACTUALIZADA")</f>
        <v>TX1004318-00-H_01</v>
      </c>
      <c r="K10" s="24" t="s">
        <v>15</v>
      </c>
      <c r="L10" s="24">
        <v>42</v>
      </c>
      <c r="M10" s="24">
        <v>0</v>
      </c>
      <c r="N10" s="24">
        <v>-42</v>
      </c>
      <c r="O10" s="24" t="s">
        <v>196</v>
      </c>
      <c r="P10" s="24" t="s">
        <v>197</v>
      </c>
    </row>
    <row r="11" spans="1:16" ht="15" customHeight="1">
      <c r="A11" s="109" t="s">
        <v>179</v>
      </c>
      <c r="B11" s="109">
        <v>0</v>
      </c>
      <c r="C11" s="110">
        <v>1027</v>
      </c>
      <c r="D11" s="109">
        <v>1027</v>
      </c>
      <c r="E11" s="111">
        <v>1</v>
      </c>
      <c r="F11" s="112">
        <v>43361.257094907407</v>
      </c>
      <c r="G11" s="119" t="s">
        <v>131</v>
      </c>
      <c r="H11" s="126">
        <v>7244</v>
      </c>
      <c r="I11" s="123"/>
      <c r="J11" s="115" t="str">
        <f>IFERROR(VLOOKUP(K11,$A:$A,1,0),"NO REPORTA EN VERSION ACTUALIZADA")</f>
        <v>TX1004318-00-HT-1</v>
      </c>
      <c r="K11" s="24" t="s">
        <v>16</v>
      </c>
      <c r="L11" s="24">
        <v>8</v>
      </c>
      <c r="M11" s="24">
        <v>12</v>
      </c>
      <c r="N11" s="24">
        <v>4</v>
      </c>
      <c r="O11" s="24" t="s">
        <v>206</v>
      </c>
      <c r="P11" s="24" t="s">
        <v>197</v>
      </c>
    </row>
    <row r="12" spans="1:16" ht="15" customHeight="1" thickBot="1">
      <c r="A12" s="109" t="s">
        <v>20</v>
      </c>
      <c r="B12" s="109">
        <v>0</v>
      </c>
      <c r="C12" s="110">
        <v>1</v>
      </c>
      <c r="D12" s="109">
        <v>1</v>
      </c>
      <c r="E12" s="111">
        <v>1</v>
      </c>
      <c r="F12" s="112">
        <v>43361.257094907407</v>
      </c>
      <c r="G12" s="120" t="s">
        <v>149</v>
      </c>
      <c r="H12" s="128">
        <v>6266</v>
      </c>
      <c r="I12" s="124"/>
      <c r="J12" s="115" t="str">
        <f>IFERROR(VLOOKUP(K12,$A:$A,1,0),"NO REPORTA EN VERSION ACTUALIZADA")</f>
        <v>TX1004318-00-HTH-1</v>
      </c>
      <c r="K12" s="24" t="s">
        <v>17</v>
      </c>
      <c r="L12" s="24">
        <v>3</v>
      </c>
      <c r="M12" s="24">
        <v>57</v>
      </c>
      <c r="N12" s="24">
        <v>54</v>
      </c>
      <c r="O12" s="24" t="s">
        <v>207</v>
      </c>
      <c r="P12" s="24" t="s">
        <v>197</v>
      </c>
    </row>
    <row r="13" spans="1:16" ht="15" customHeight="1">
      <c r="A13" s="109" t="s">
        <v>21</v>
      </c>
      <c r="B13" s="109">
        <v>0</v>
      </c>
      <c r="C13" s="110">
        <v>12</v>
      </c>
      <c r="D13" s="109">
        <v>12</v>
      </c>
      <c r="E13" s="111">
        <v>1</v>
      </c>
      <c r="F13" s="112">
        <v>43361.257094907407</v>
      </c>
      <c r="G13" s="112"/>
      <c r="H13" s="83"/>
      <c r="J13" s="115" t="str">
        <f>IFERROR(VLOOKUP(K13,$A:$A,1,0),"NO REPORTA EN VERSION ACTUALIZADA")</f>
        <v>TX1009582-01-B_03</v>
      </c>
      <c r="K13" s="24" t="s">
        <v>18</v>
      </c>
      <c r="L13" s="24">
        <v>119</v>
      </c>
      <c r="M13" s="24">
        <v>0</v>
      </c>
      <c r="N13" s="24">
        <v>-119</v>
      </c>
      <c r="O13" s="24" t="s">
        <v>196</v>
      </c>
      <c r="P13" s="24" t="s">
        <v>197</v>
      </c>
    </row>
    <row r="14" spans="1:16" ht="15" customHeight="1">
      <c r="A14" s="109" t="s">
        <v>22</v>
      </c>
      <c r="B14" s="109">
        <v>12</v>
      </c>
      <c r="C14" s="110">
        <v>19</v>
      </c>
      <c r="D14" s="109">
        <v>7</v>
      </c>
      <c r="E14" s="111">
        <v>0.36</v>
      </c>
      <c r="F14" s="112">
        <v>43361.257094907407</v>
      </c>
      <c r="G14" s="112"/>
      <c r="H14" s="83"/>
      <c r="J14" s="115" t="str">
        <f>IFERROR(VLOOKUP(K14,$A:$A,1,0),"NO REPORTA EN VERSION ACTUALIZADA")</f>
        <v>TX1009582-01-BT-3</v>
      </c>
      <c r="K14" s="24" t="s">
        <v>19</v>
      </c>
      <c r="L14" s="24">
        <v>172</v>
      </c>
      <c r="M14" s="24">
        <v>954</v>
      </c>
      <c r="N14" s="24">
        <v>782</v>
      </c>
      <c r="O14" s="24" t="s">
        <v>208</v>
      </c>
      <c r="P14" s="24" t="s">
        <v>197</v>
      </c>
    </row>
    <row r="15" spans="1:16" ht="15" customHeight="1">
      <c r="A15" s="109" t="s">
        <v>23</v>
      </c>
      <c r="B15" s="109">
        <v>10</v>
      </c>
      <c r="C15" s="110">
        <v>2926</v>
      </c>
      <c r="D15" s="109">
        <v>2916</v>
      </c>
      <c r="E15" s="111">
        <v>0.99</v>
      </c>
      <c r="F15" s="112">
        <v>43361.257094907407</v>
      </c>
      <c r="G15" s="112"/>
      <c r="H15" s="83"/>
      <c r="J15" s="115" t="str">
        <f>IFERROR(VLOOKUP(K15,$A:$A,1,0),"NO REPORTA EN VERSION ACTUALIZADA")</f>
        <v>TX1019127-01-CB-1</v>
      </c>
      <c r="K15" s="24" t="s">
        <v>20</v>
      </c>
      <c r="L15" s="24">
        <v>0</v>
      </c>
      <c r="M15" s="24">
        <v>26</v>
      </c>
      <c r="N15" s="24">
        <v>26</v>
      </c>
      <c r="O15" s="24" t="s">
        <v>196</v>
      </c>
      <c r="P15" s="24" t="s">
        <v>197</v>
      </c>
    </row>
    <row r="16" spans="1:16" ht="15" customHeight="1">
      <c r="A16" s="109" t="s">
        <v>24</v>
      </c>
      <c r="B16" s="109">
        <v>0</v>
      </c>
      <c r="C16" s="110">
        <v>3</v>
      </c>
      <c r="D16" s="109">
        <v>3</v>
      </c>
      <c r="E16" s="111">
        <v>1</v>
      </c>
      <c r="F16" s="112">
        <v>43361.257094907407</v>
      </c>
      <c r="G16" s="112"/>
      <c r="H16" s="83"/>
      <c r="J16" s="115" t="str">
        <f>IFERROR(VLOOKUP(K16,$A:$A,1,0),"NO REPORTA EN VERSION ACTUALIZADA")</f>
        <v>TX1019127-01-CT-1</v>
      </c>
      <c r="K16" s="24" t="s">
        <v>21</v>
      </c>
      <c r="L16" s="24">
        <v>0</v>
      </c>
      <c r="M16" s="24">
        <v>14</v>
      </c>
      <c r="N16" s="24">
        <v>14</v>
      </c>
      <c r="O16" s="24" t="s">
        <v>196</v>
      </c>
      <c r="P16" s="24" t="s">
        <v>197</v>
      </c>
    </row>
    <row r="17" spans="1:16" ht="15" customHeight="1">
      <c r="A17" s="109" t="s">
        <v>26</v>
      </c>
      <c r="B17" s="109">
        <v>0</v>
      </c>
      <c r="C17" s="110">
        <v>9</v>
      </c>
      <c r="D17" s="109">
        <v>9</v>
      </c>
      <c r="E17" s="111">
        <v>1</v>
      </c>
      <c r="F17" s="112">
        <v>43361.257094907407</v>
      </c>
      <c r="G17" s="112"/>
      <c r="H17" s="83"/>
      <c r="J17" s="115" t="str">
        <f>IFERROR(VLOOKUP(K17,$A:$A,1,0),"NO REPORTA EN VERSION ACTUALIZADA")</f>
        <v>TX1019127-01-CTH-1</v>
      </c>
      <c r="K17" s="24" t="s">
        <v>22</v>
      </c>
      <c r="L17" s="24">
        <v>12</v>
      </c>
      <c r="M17" s="24">
        <v>39</v>
      </c>
      <c r="N17" s="24">
        <v>27</v>
      </c>
      <c r="O17" s="24" t="s">
        <v>209</v>
      </c>
      <c r="P17" s="24" t="s">
        <v>197</v>
      </c>
    </row>
    <row r="18" spans="1:16" ht="15" customHeight="1">
      <c r="A18" s="109" t="s">
        <v>27</v>
      </c>
      <c r="B18" s="109">
        <v>30</v>
      </c>
      <c r="C18" s="110">
        <v>30</v>
      </c>
      <c r="D18" s="109">
        <v>0</v>
      </c>
      <c r="E18" s="111">
        <v>0</v>
      </c>
      <c r="F18" s="112">
        <v>43361.257094907407</v>
      </c>
      <c r="G18" s="112"/>
      <c r="H18" s="83"/>
      <c r="J18" s="115" t="str">
        <f>IFERROR(VLOOKUP(K18,$A:$A,1,0),"NO REPORTA EN VERSION ACTUALIZADA")</f>
        <v>TX1020419-01-C_03</v>
      </c>
      <c r="K18" s="24" t="s">
        <v>23</v>
      </c>
      <c r="L18" s="24">
        <v>10</v>
      </c>
      <c r="M18" s="24">
        <v>0</v>
      </c>
      <c r="N18" s="24">
        <v>-10</v>
      </c>
      <c r="O18" s="24" t="s">
        <v>196</v>
      </c>
      <c r="P18" s="24" t="s">
        <v>197</v>
      </c>
    </row>
    <row r="19" spans="1:16" ht="15" customHeight="1">
      <c r="A19" s="109" t="s">
        <v>29</v>
      </c>
      <c r="B19" s="109">
        <v>46</v>
      </c>
      <c r="C19" s="110">
        <v>16</v>
      </c>
      <c r="D19" s="109">
        <v>-30</v>
      </c>
      <c r="E19" s="111">
        <v>0.65</v>
      </c>
      <c r="F19" s="112">
        <v>43361.257094907407</v>
      </c>
      <c r="G19" s="112"/>
      <c r="H19" s="83"/>
      <c r="J19" s="115" t="str">
        <f>IFERROR(VLOOKUP(K19,$A:$A,1,0),"NO REPORTA EN VERSION ACTUALIZADA")</f>
        <v>TX1020419-01-CB-3</v>
      </c>
      <c r="K19" s="24" t="s">
        <v>24</v>
      </c>
      <c r="L19" s="24">
        <v>0</v>
      </c>
      <c r="M19" s="24">
        <v>21</v>
      </c>
      <c r="N19" s="24">
        <v>21</v>
      </c>
      <c r="O19" s="24" t="s">
        <v>196</v>
      </c>
      <c r="P19" s="24" t="s">
        <v>197</v>
      </c>
    </row>
    <row r="20" spans="1:16" ht="15" customHeight="1">
      <c r="A20" s="109" t="s">
        <v>30</v>
      </c>
      <c r="B20" s="109">
        <v>4</v>
      </c>
      <c r="C20" s="110">
        <v>15</v>
      </c>
      <c r="D20" s="109">
        <v>11</v>
      </c>
      <c r="E20" s="111">
        <v>0.73</v>
      </c>
      <c r="F20" s="112">
        <v>43361.257094907407</v>
      </c>
      <c r="G20" s="112"/>
      <c r="H20" s="83"/>
      <c r="J20" s="115" t="str">
        <f>IFERROR(VLOOKUP(K20,$A:$A,1,0),"NO REPORTA EN VERSION ACTUALIZADA")</f>
        <v>NO REPORTA EN VERSION ACTUALIZADA</v>
      </c>
      <c r="K20" s="116" t="s">
        <v>25</v>
      </c>
      <c r="L20" s="116">
        <v>12</v>
      </c>
      <c r="M20" s="116">
        <v>12</v>
      </c>
      <c r="N20" s="116">
        <v>0</v>
      </c>
      <c r="O20" s="116" t="s">
        <v>210</v>
      </c>
      <c r="P20" s="116" t="s">
        <v>197</v>
      </c>
    </row>
    <row r="21" spans="1:16" ht="15" customHeight="1">
      <c r="A21" s="109" t="s">
        <v>31</v>
      </c>
      <c r="B21" s="109">
        <v>19</v>
      </c>
      <c r="C21" s="110">
        <v>227</v>
      </c>
      <c r="D21" s="109">
        <v>208</v>
      </c>
      <c r="E21" s="111">
        <v>0.91</v>
      </c>
      <c r="F21" s="112">
        <v>43361.257094907407</v>
      </c>
      <c r="G21" s="112"/>
      <c r="H21" s="83"/>
      <c r="J21" s="115" t="str">
        <f>IFERROR(VLOOKUP(K21,$A:$A,1,0),"NO REPORTA EN VERSION ACTUALIZADA")</f>
        <v>TX1020419-01-CTH-3</v>
      </c>
      <c r="K21" s="24" t="s">
        <v>26</v>
      </c>
      <c r="L21" s="24">
        <v>0</v>
      </c>
      <c r="M21" s="24">
        <v>36</v>
      </c>
      <c r="N21" s="24">
        <v>36</v>
      </c>
      <c r="O21" s="24" t="s">
        <v>196</v>
      </c>
      <c r="P21" s="24" t="s">
        <v>197</v>
      </c>
    </row>
    <row r="22" spans="1:16" ht="15" customHeight="1">
      <c r="A22" s="109" t="s">
        <v>32</v>
      </c>
      <c r="B22" s="109">
        <v>0</v>
      </c>
      <c r="C22" s="110">
        <v>36</v>
      </c>
      <c r="D22" s="109">
        <v>36</v>
      </c>
      <c r="E22" s="111">
        <v>1</v>
      </c>
      <c r="F22" s="112">
        <v>43361.257094907407</v>
      </c>
      <c r="G22" s="112"/>
      <c r="H22" s="83"/>
      <c r="J22" s="115" t="str">
        <f>IFERROR(VLOOKUP(K22,$A:$A,1,0),"NO REPORTA EN VERSION ACTUALIZADA")</f>
        <v>TX1020796-01-BT-4</v>
      </c>
      <c r="K22" s="24" t="s">
        <v>27</v>
      </c>
      <c r="L22" s="24">
        <v>30</v>
      </c>
      <c r="M22" s="24">
        <v>30</v>
      </c>
      <c r="N22" s="24">
        <v>0</v>
      </c>
      <c r="O22" s="24" t="s">
        <v>210</v>
      </c>
      <c r="P22" s="24" t="s">
        <v>197</v>
      </c>
    </row>
    <row r="23" spans="1:16" ht="15" customHeight="1">
      <c r="A23" s="109" t="s">
        <v>33</v>
      </c>
      <c r="B23" s="109">
        <v>16</v>
      </c>
      <c r="C23" s="110">
        <v>43</v>
      </c>
      <c r="D23" s="109">
        <v>27</v>
      </c>
      <c r="E23" s="111">
        <v>0.62</v>
      </c>
      <c r="F23" s="112">
        <v>43361.257094907407</v>
      </c>
      <c r="G23" s="112"/>
      <c r="H23" s="83"/>
      <c r="J23" s="115" t="str">
        <f>IFERROR(VLOOKUP(K23,$A:$A,1,0),"NO REPORTA EN VERSION ACTUALIZADA")</f>
        <v>NO REPORTA EN VERSION ACTUALIZADA</v>
      </c>
      <c r="K23" s="116" t="s">
        <v>28</v>
      </c>
      <c r="L23" s="116">
        <v>0</v>
      </c>
      <c r="M23" s="116">
        <v>30</v>
      </c>
      <c r="N23" s="116">
        <v>30</v>
      </c>
      <c r="O23" s="116" t="s">
        <v>196</v>
      </c>
      <c r="P23" s="116" t="s">
        <v>197</v>
      </c>
    </row>
    <row r="24" spans="1:16" ht="15" customHeight="1">
      <c r="A24" s="109" t="s">
        <v>34</v>
      </c>
      <c r="B24" s="109">
        <v>56</v>
      </c>
      <c r="C24" s="110">
        <v>1737</v>
      </c>
      <c r="D24" s="109">
        <v>1681</v>
      </c>
      <c r="E24" s="111">
        <v>0.96</v>
      </c>
      <c r="F24" s="112">
        <v>43361.257094907407</v>
      </c>
      <c r="G24" s="112"/>
      <c r="H24" s="83"/>
      <c r="J24" s="115" t="str">
        <f>IFERROR(VLOOKUP(K24,$A:$A,1,0),"NO REPORTA EN VERSION ACTUALIZADA")</f>
        <v>TX1021748-00-B_01</v>
      </c>
      <c r="K24" s="24" t="s">
        <v>29</v>
      </c>
      <c r="L24" s="24">
        <v>46</v>
      </c>
      <c r="M24" s="24">
        <v>0</v>
      </c>
      <c r="N24" s="24">
        <v>-46</v>
      </c>
      <c r="O24" s="24" t="s">
        <v>196</v>
      </c>
      <c r="P24" s="24" t="s">
        <v>197</v>
      </c>
    </row>
    <row r="25" spans="1:16" ht="15" customHeight="1">
      <c r="A25" s="109" t="s">
        <v>35</v>
      </c>
      <c r="B25" s="109">
        <v>9</v>
      </c>
      <c r="C25" s="110">
        <v>33</v>
      </c>
      <c r="D25" s="109">
        <v>24</v>
      </c>
      <c r="E25" s="111">
        <v>0.72</v>
      </c>
      <c r="F25" s="112">
        <v>43361.257094907407</v>
      </c>
      <c r="G25" s="112"/>
      <c r="H25" s="83"/>
      <c r="J25" s="115" t="str">
        <f>IFERROR(VLOOKUP(K25,$A:$A,1,0),"NO REPORTA EN VERSION ACTUALIZADA")</f>
        <v>TX1021748-00-BTH-1</v>
      </c>
      <c r="K25" s="24" t="s">
        <v>30</v>
      </c>
      <c r="L25" s="24">
        <v>4</v>
      </c>
      <c r="M25" s="24">
        <v>63</v>
      </c>
      <c r="N25" s="24">
        <v>59</v>
      </c>
      <c r="O25" s="24" t="s">
        <v>211</v>
      </c>
      <c r="P25" s="24" t="s">
        <v>197</v>
      </c>
    </row>
    <row r="26" spans="1:16" ht="15" customHeight="1">
      <c r="A26" s="109" t="s">
        <v>36</v>
      </c>
      <c r="B26" s="109">
        <v>86</v>
      </c>
      <c r="C26" s="110">
        <v>25</v>
      </c>
      <c r="D26" s="109">
        <v>-61</v>
      </c>
      <c r="E26" s="111">
        <v>0.7</v>
      </c>
      <c r="F26" s="112">
        <v>43361.257094907407</v>
      </c>
      <c r="G26" s="112"/>
      <c r="H26" s="83"/>
      <c r="J26" s="115" t="str">
        <f>IFERROR(VLOOKUP(K26,$A:$A,1,0),"NO REPORTA EN VERSION ACTUALIZADA")</f>
        <v>TX1021748-00-C_02</v>
      </c>
      <c r="K26" s="24" t="s">
        <v>31</v>
      </c>
      <c r="L26" s="24">
        <v>19</v>
      </c>
      <c r="M26" s="24">
        <v>0</v>
      </c>
      <c r="N26" s="24">
        <v>-19</v>
      </c>
      <c r="O26" s="24" t="s">
        <v>196</v>
      </c>
      <c r="P26" s="24" t="s">
        <v>197</v>
      </c>
    </row>
    <row r="27" spans="1:16" ht="15" customHeight="1">
      <c r="A27" s="109" t="s">
        <v>37</v>
      </c>
      <c r="B27" s="109">
        <v>63</v>
      </c>
      <c r="C27" s="110">
        <v>56</v>
      </c>
      <c r="D27" s="109">
        <v>-7</v>
      </c>
      <c r="E27" s="111">
        <v>0.11</v>
      </c>
      <c r="F27" s="112">
        <v>43361.257094907407</v>
      </c>
      <c r="G27" s="112"/>
      <c r="H27" s="83"/>
      <c r="J27" s="115" t="str">
        <f>IFERROR(VLOOKUP(K27,$A:$A,1,0),"NO REPORTA EN VERSION ACTUALIZADA")</f>
        <v>TX1021748-00-CT-2</v>
      </c>
      <c r="K27" s="24" t="s">
        <v>32</v>
      </c>
      <c r="L27" s="24">
        <v>0</v>
      </c>
      <c r="M27" s="24">
        <v>1</v>
      </c>
      <c r="N27" s="24">
        <v>1</v>
      </c>
      <c r="O27" s="24" t="s">
        <v>196</v>
      </c>
      <c r="P27" s="24" t="s">
        <v>197</v>
      </c>
    </row>
    <row r="28" spans="1:16" ht="15" customHeight="1">
      <c r="A28" s="109" t="s">
        <v>38</v>
      </c>
      <c r="B28" s="109">
        <v>5</v>
      </c>
      <c r="C28" s="110">
        <v>15</v>
      </c>
      <c r="D28" s="109">
        <v>10</v>
      </c>
      <c r="E28" s="111">
        <v>0.66</v>
      </c>
      <c r="F28" s="112">
        <v>43361.257094907407</v>
      </c>
      <c r="G28" s="112"/>
      <c r="H28" s="83"/>
      <c r="J28" s="115" t="str">
        <f>IFERROR(VLOOKUP(K28,$A:$A,1,0),"NO REPORTA EN VERSION ACTUALIZADA")</f>
        <v>TX1021748-00-CTH-2</v>
      </c>
      <c r="K28" s="24" t="s">
        <v>33</v>
      </c>
      <c r="L28" s="24">
        <v>16</v>
      </c>
      <c r="M28" s="24">
        <v>60</v>
      </c>
      <c r="N28" s="24">
        <v>44</v>
      </c>
      <c r="O28" s="24" t="s">
        <v>212</v>
      </c>
      <c r="P28" s="24" t="s">
        <v>197</v>
      </c>
    </row>
    <row r="29" spans="1:16" ht="15" customHeight="1">
      <c r="A29" s="109" t="s">
        <v>39</v>
      </c>
      <c r="B29" s="109">
        <v>103</v>
      </c>
      <c r="C29" s="110">
        <v>117</v>
      </c>
      <c r="D29" s="109">
        <v>14</v>
      </c>
      <c r="E29" s="111">
        <v>0.11</v>
      </c>
      <c r="F29" s="112">
        <v>43361.257094907407</v>
      </c>
      <c r="G29" s="112"/>
      <c r="H29" s="83"/>
      <c r="J29" s="115" t="str">
        <f>IFERROR(VLOOKUP(K29,$A:$A,1,0),"NO REPORTA EN VERSION ACTUALIZADA")</f>
        <v>TX1021749-00-B_03</v>
      </c>
      <c r="K29" s="24" t="s">
        <v>34</v>
      </c>
      <c r="L29" s="24">
        <v>56</v>
      </c>
      <c r="M29" s="24">
        <v>0</v>
      </c>
      <c r="N29" s="24">
        <v>-56</v>
      </c>
      <c r="O29" s="24" t="s">
        <v>196</v>
      </c>
      <c r="P29" s="24" t="s">
        <v>197</v>
      </c>
    </row>
    <row r="30" spans="1:16" ht="15" customHeight="1">
      <c r="A30" s="109" t="s">
        <v>40</v>
      </c>
      <c r="B30" s="109">
        <v>20</v>
      </c>
      <c r="C30" s="110">
        <v>41</v>
      </c>
      <c r="D30" s="109">
        <v>21</v>
      </c>
      <c r="E30" s="111">
        <v>0.51</v>
      </c>
      <c r="F30" s="112">
        <v>43361.257094907407</v>
      </c>
      <c r="G30" s="112"/>
      <c r="H30" s="83"/>
      <c r="J30" s="115" t="str">
        <f>IFERROR(VLOOKUP(K30,$A:$A,1,0),"NO REPORTA EN VERSION ACTUALIZADA")</f>
        <v>TX1021749-00-BT-3</v>
      </c>
      <c r="K30" s="24" t="s">
        <v>35</v>
      </c>
      <c r="L30" s="24">
        <v>9</v>
      </c>
      <c r="M30" s="24">
        <v>36</v>
      </c>
      <c r="N30" s="24">
        <v>27</v>
      </c>
      <c r="O30" s="24" t="s">
        <v>213</v>
      </c>
      <c r="P30" s="24" t="s">
        <v>197</v>
      </c>
    </row>
    <row r="31" spans="1:16" ht="15" customHeight="1">
      <c r="A31" s="109" t="s">
        <v>41</v>
      </c>
      <c r="B31" s="109">
        <v>228</v>
      </c>
      <c r="C31" s="110">
        <v>185</v>
      </c>
      <c r="D31" s="109">
        <v>-43</v>
      </c>
      <c r="E31" s="111">
        <v>0.18</v>
      </c>
      <c r="F31" s="112">
        <v>43361.257094907407</v>
      </c>
      <c r="G31" s="112"/>
      <c r="H31" s="83"/>
      <c r="J31" s="115" t="str">
        <f>IFERROR(VLOOKUP(K31,$A:$A,1,0),"NO REPORTA EN VERSION ACTUALIZADA")</f>
        <v>TX1021749-00-BTH-3</v>
      </c>
      <c r="K31" s="24" t="s">
        <v>36</v>
      </c>
      <c r="L31" s="24">
        <v>86</v>
      </c>
      <c r="M31" s="24">
        <v>134</v>
      </c>
      <c r="N31" s="24">
        <v>48</v>
      </c>
      <c r="O31" s="24" t="s">
        <v>214</v>
      </c>
      <c r="P31" s="24" t="s">
        <v>197</v>
      </c>
    </row>
    <row r="32" spans="1:16" ht="15" customHeight="1">
      <c r="A32" s="109" t="s">
        <v>42</v>
      </c>
      <c r="B32" s="109">
        <v>116</v>
      </c>
      <c r="C32" s="110">
        <v>219</v>
      </c>
      <c r="D32" s="109">
        <v>103</v>
      </c>
      <c r="E32" s="111">
        <v>0.47</v>
      </c>
      <c r="F32" s="112">
        <v>43361.257094907407</v>
      </c>
      <c r="G32" s="112"/>
      <c r="H32" s="83"/>
      <c r="J32" s="115" t="str">
        <f>IFERROR(VLOOKUP(K32,$A:$A,1,0),"NO REPORTA EN VERSION ACTUALIZADA")</f>
        <v>TX1022005-01-G_01</v>
      </c>
      <c r="K32" s="24" t="s">
        <v>37</v>
      </c>
      <c r="L32" s="24">
        <v>63</v>
      </c>
      <c r="M32" s="24">
        <v>0</v>
      </c>
      <c r="N32" s="24">
        <v>-63</v>
      </c>
      <c r="O32" s="24" t="s">
        <v>196</v>
      </c>
      <c r="P32" s="24" t="s">
        <v>197</v>
      </c>
    </row>
    <row r="33" spans="1:16" ht="15" customHeight="1">
      <c r="A33" s="109" t="s">
        <v>43</v>
      </c>
      <c r="B33" s="109">
        <v>0</v>
      </c>
      <c r="C33" s="110">
        <v>79</v>
      </c>
      <c r="D33" s="109">
        <v>79</v>
      </c>
      <c r="E33" s="111">
        <v>1</v>
      </c>
      <c r="F33" s="112">
        <v>43361.257094907407</v>
      </c>
      <c r="G33" s="112"/>
      <c r="H33" s="83"/>
      <c r="J33" s="115" t="str">
        <f>IFERROR(VLOOKUP(K33,$A:$A,1,0),"NO REPORTA EN VERSION ACTUALIZADA")</f>
        <v>TX1022005-01-GB-1</v>
      </c>
      <c r="K33" s="24" t="s">
        <v>38</v>
      </c>
      <c r="L33" s="24">
        <v>5</v>
      </c>
      <c r="M33" s="24">
        <v>117</v>
      </c>
      <c r="N33" s="24">
        <v>112</v>
      </c>
      <c r="O33" s="24" t="s">
        <v>215</v>
      </c>
      <c r="P33" s="24" t="s">
        <v>197</v>
      </c>
    </row>
    <row r="34" spans="1:16" ht="15" customHeight="1">
      <c r="A34" s="109" t="s">
        <v>44</v>
      </c>
      <c r="B34" s="109">
        <v>170</v>
      </c>
      <c r="C34" s="110">
        <v>114</v>
      </c>
      <c r="D34" s="109">
        <v>-56</v>
      </c>
      <c r="E34" s="111">
        <v>0.32</v>
      </c>
      <c r="F34" s="112">
        <v>43361.257094907407</v>
      </c>
      <c r="G34" s="112"/>
      <c r="H34" s="83"/>
      <c r="J34" s="115" t="str">
        <f>IFERROR(VLOOKUP(K34,$A:$A,1,0),"NO REPORTA EN VERSION ACTUALIZADA")</f>
        <v>TX1022005-01-GT-1</v>
      </c>
      <c r="K34" s="24" t="s">
        <v>39</v>
      </c>
      <c r="L34" s="24">
        <v>103</v>
      </c>
      <c r="M34" s="24">
        <v>246</v>
      </c>
      <c r="N34" s="24">
        <v>143</v>
      </c>
      <c r="O34" s="24" t="s">
        <v>216</v>
      </c>
      <c r="P34" s="24" t="s">
        <v>197</v>
      </c>
    </row>
    <row r="35" spans="1:16" ht="15" customHeight="1">
      <c r="A35" s="109" t="s">
        <v>180</v>
      </c>
      <c r="B35" s="109">
        <v>0</v>
      </c>
      <c r="C35" s="110">
        <v>1</v>
      </c>
      <c r="D35" s="109">
        <v>1</v>
      </c>
      <c r="E35" s="111">
        <v>1</v>
      </c>
      <c r="F35" s="112">
        <v>43361.257094907407</v>
      </c>
      <c r="G35" s="112"/>
      <c r="H35" s="83"/>
      <c r="J35" s="115" t="str">
        <f>IFERROR(VLOOKUP(K35,$A:$A,1,0),"NO REPORTA EN VERSION ACTUALIZADA")</f>
        <v>TX1022005-01-GTH-1</v>
      </c>
      <c r="K35" s="24" t="s">
        <v>40</v>
      </c>
      <c r="L35" s="24">
        <v>20</v>
      </c>
      <c r="M35" s="24">
        <v>304</v>
      </c>
      <c r="N35" s="24">
        <v>284</v>
      </c>
      <c r="O35" s="24" t="s">
        <v>211</v>
      </c>
      <c r="P35" s="24" t="s">
        <v>197</v>
      </c>
    </row>
    <row r="36" spans="1:16" ht="15" customHeight="1">
      <c r="A36" s="109" t="s">
        <v>45</v>
      </c>
      <c r="B36" s="109">
        <v>170</v>
      </c>
      <c r="C36" s="110">
        <v>150</v>
      </c>
      <c r="D36" s="109">
        <v>-20</v>
      </c>
      <c r="E36" s="111">
        <v>0.11</v>
      </c>
      <c r="F36" s="112">
        <v>43361.257094907407</v>
      </c>
      <c r="G36" s="112"/>
      <c r="H36" s="83"/>
      <c r="J36" s="115" t="str">
        <f>IFERROR(VLOOKUP(K36,$A:$A,1,0),"NO REPORTA EN VERSION ACTUALIZADA")</f>
        <v>TX1023049-01-D_02</v>
      </c>
      <c r="K36" s="24" t="s">
        <v>41</v>
      </c>
      <c r="L36" s="24">
        <v>228</v>
      </c>
      <c r="M36" s="24">
        <v>0</v>
      </c>
      <c r="N36" s="24">
        <v>-228</v>
      </c>
      <c r="O36" s="24" t="s">
        <v>196</v>
      </c>
      <c r="P36" s="24" t="s">
        <v>197</v>
      </c>
    </row>
    <row r="37" spans="1:16" ht="15" customHeight="1">
      <c r="A37" s="109" t="s">
        <v>46</v>
      </c>
      <c r="B37" s="109">
        <v>0</v>
      </c>
      <c r="C37" s="110">
        <v>25</v>
      </c>
      <c r="D37" s="109">
        <v>25</v>
      </c>
      <c r="E37" s="111">
        <v>1</v>
      </c>
      <c r="F37" s="112">
        <v>43361.257094907407</v>
      </c>
      <c r="G37" s="112"/>
      <c r="H37" s="83"/>
      <c r="J37" s="115" t="str">
        <f>IFERROR(VLOOKUP(K37,$A:$A,1,0),"NO REPORTA EN VERSION ACTUALIZADA")</f>
        <v>TX1023049-01-DT-2</v>
      </c>
      <c r="K37" s="24" t="s">
        <v>42</v>
      </c>
      <c r="L37" s="24">
        <v>116</v>
      </c>
      <c r="M37" s="24">
        <v>385</v>
      </c>
      <c r="N37" s="24">
        <v>269</v>
      </c>
      <c r="O37" s="24" t="s">
        <v>209</v>
      </c>
      <c r="P37" s="24" t="s">
        <v>197</v>
      </c>
    </row>
    <row r="38" spans="1:16" ht="15" customHeight="1">
      <c r="A38" s="109" t="s">
        <v>48</v>
      </c>
      <c r="B38" s="109">
        <v>179</v>
      </c>
      <c r="C38" s="110">
        <v>15489</v>
      </c>
      <c r="D38" s="109">
        <v>15310</v>
      </c>
      <c r="E38" s="111">
        <v>0.98</v>
      </c>
      <c r="F38" s="112">
        <v>43361.257094907407</v>
      </c>
      <c r="G38" s="112"/>
      <c r="H38" s="83"/>
      <c r="J38" s="115" t="str">
        <f>IFERROR(VLOOKUP(K38,$A:$A,1,0),"NO REPORTA EN VERSION ACTUALIZADA")</f>
        <v>TX1023049-01-DTH-2</v>
      </c>
      <c r="K38" s="24" t="s">
        <v>43</v>
      </c>
      <c r="L38" s="24">
        <v>0</v>
      </c>
      <c r="M38" s="24">
        <v>555</v>
      </c>
      <c r="N38" s="24">
        <v>555</v>
      </c>
      <c r="O38" s="24" t="s">
        <v>196</v>
      </c>
      <c r="P38" s="24" t="s">
        <v>197</v>
      </c>
    </row>
    <row r="39" spans="1:16" ht="15" customHeight="1">
      <c r="A39" s="109" t="s">
        <v>49</v>
      </c>
      <c r="B39" s="109">
        <v>108</v>
      </c>
      <c r="C39" s="110">
        <v>110</v>
      </c>
      <c r="D39" s="109">
        <v>2</v>
      </c>
      <c r="E39" s="111">
        <v>0.01</v>
      </c>
      <c r="F39" s="112">
        <v>43361.257094907407</v>
      </c>
      <c r="G39" s="112"/>
      <c r="H39" s="83"/>
      <c r="J39" s="115" t="str">
        <f>IFERROR(VLOOKUP(K39,$A:$A,1,0),"NO REPORTA EN VERSION ACTUALIZADA")</f>
        <v>TX1023049-02-D_02</v>
      </c>
      <c r="K39" s="24" t="s">
        <v>44</v>
      </c>
      <c r="L39" s="24">
        <v>170</v>
      </c>
      <c r="M39" s="24">
        <v>1</v>
      </c>
      <c r="N39" s="24">
        <v>-169</v>
      </c>
      <c r="O39" s="24" t="s">
        <v>217</v>
      </c>
      <c r="P39" s="24" t="s">
        <v>197</v>
      </c>
    </row>
    <row r="40" spans="1:16" ht="15" customHeight="1">
      <c r="A40" s="109" t="s">
        <v>50</v>
      </c>
      <c r="B40" s="109">
        <v>192</v>
      </c>
      <c r="C40" s="110">
        <v>187</v>
      </c>
      <c r="D40" s="109">
        <v>-5</v>
      </c>
      <c r="E40" s="111">
        <v>0.02</v>
      </c>
      <c r="F40" s="112">
        <v>43361.257094907407</v>
      </c>
      <c r="G40" s="112"/>
      <c r="H40" s="83"/>
      <c r="J40" s="115" t="str">
        <f>IFERROR(VLOOKUP(K40,$A:$A,1,0),"NO REPORTA EN VERSION ACTUALIZADA")</f>
        <v>TX1023049-02-DT-2</v>
      </c>
      <c r="K40" s="24" t="s">
        <v>45</v>
      </c>
      <c r="L40" s="24">
        <v>170</v>
      </c>
      <c r="M40" s="24">
        <v>268</v>
      </c>
      <c r="N40" s="24">
        <v>98</v>
      </c>
      <c r="O40" s="24" t="s">
        <v>218</v>
      </c>
      <c r="P40" s="24" t="s">
        <v>197</v>
      </c>
    </row>
    <row r="41" spans="1:16" ht="15" customHeight="1">
      <c r="A41" s="109" t="s">
        <v>51</v>
      </c>
      <c r="B41" s="109">
        <v>126</v>
      </c>
      <c r="C41" s="110">
        <v>133</v>
      </c>
      <c r="D41" s="109">
        <v>7</v>
      </c>
      <c r="E41" s="111">
        <v>0.05</v>
      </c>
      <c r="F41" s="112">
        <v>43361.257094907407</v>
      </c>
      <c r="G41" s="112"/>
      <c r="H41" s="83"/>
      <c r="J41" s="115" t="str">
        <f>IFERROR(VLOOKUP(K41,$A:$A,1,0),"NO REPORTA EN VERSION ACTUALIZADA")</f>
        <v>TX1023049-02-DTH-2</v>
      </c>
      <c r="K41" s="24" t="s">
        <v>46</v>
      </c>
      <c r="L41" s="24">
        <v>0</v>
      </c>
      <c r="M41" s="24">
        <v>301</v>
      </c>
      <c r="N41" s="24">
        <v>301</v>
      </c>
      <c r="O41" s="24" t="s">
        <v>196</v>
      </c>
      <c r="P41" s="24" t="s">
        <v>197</v>
      </c>
    </row>
    <row r="42" spans="1:16" ht="15" customHeight="1">
      <c r="A42" s="109" t="s">
        <v>53</v>
      </c>
      <c r="B42" s="109">
        <v>7</v>
      </c>
      <c r="C42" s="110">
        <v>820</v>
      </c>
      <c r="D42" s="109">
        <v>813</v>
      </c>
      <c r="E42" s="111">
        <v>0.99</v>
      </c>
      <c r="F42" s="112">
        <v>43361.257094907407</v>
      </c>
      <c r="G42" s="112"/>
      <c r="H42" s="83"/>
      <c r="J42" s="115" t="str">
        <f>IFERROR(VLOOKUP(K42,$A:$A,1,0),"NO REPORTA EN VERSION ACTUALIZADA")</f>
        <v>NO REPORTA EN VERSION ACTUALIZADA</v>
      </c>
      <c r="K42" s="116" t="s">
        <v>47</v>
      </c>
      <c r="L42" s="116">
        <v>4</v>
      </c>
      <c r="M42" s="116">
        <v>0</v>
      </c>
      <c r="N42" s="116">
        <v>-4</v>
      </c>
      <c r="O42" s="116" t="s">
        <v>196</v>
      </c>
      <c r="P42" s="116" t="s">
        <v>197</v>
      </c>
    </row>
    <row r="43" spans="1:16" ht="15" customHeight="1">
      <c r="A43" s="109" t="s">
        <v>56</v>
      </c>
      <c r="B43" s="109">
        <v>2</v>
      </c>
      <c r="C43" s="110">
        <v>1</v>
      </c>
      <c r="D43" s="109">
        <v>-1</v>
      </c>
      <c r="E43" s="111">
        <v>0.5</v>
      </c>
      <c r="F43" s="112">
        <v>43361.257094907407</v>
      </c>
      <c r="G43" s="112"/>
      <c r="H43" s="83"/>
      <c r="J43" s="115" t="str">
        <f>IFERROR(VLOOKUP(K43,$A:$A,1,0),"NO REPORTA EN VERSION ACTUALIZADA")</f>
        <v>TX1026696-00-G_01</v>
      </c>
      <c r="K43" s="24" t="s">
        <v>48</v>
      </c>
      <c r="L43" s="24">
        <v>23</v>
      </c>
      <c r="M43" s="24">
        <v>0</v>
      </c>
      <c r="N43" s="24">
        <v>-23</v>
      </c>
      <c r="O43" s="24" t="s">
        <v>196</v>
      </c>
      <c r="P43" s="24" t="s">
        <v>197</v>
      </c>
    </row>
    <row r="44" spans="1:16" ht="15" customHeight="1">
      <c r="A44" s="109" t="s">
        <v>57</v>
      </c>
      <c r="B44" s="109">
        <v>5228</v>
      </c>
      <c r="C44" s="110">
        <v>94749</v>
      </c>
      <c r="D44" s="109">
        <v>89521</v>
      </c>
      <c r="E44" s="111">
        <v>0.94</v>
      </c>
      <c r="F44" s="112">
        <v>43361.257094907407</v>
      </c>
      <c r="G44" s="112"/>
      <c r="H44" s="83"/>
      <c r="J44" s="115" t="str">
        <f>IFERROR(VLOOKUP(K44,$A:$A,1,0),"NO REPORTA EN VERSION ACTUALIZADA")</f>
        <v>TX1026696-00-GB-1</v>
      </c>
      <c r="K44" s="24" t="s">
        <v>49</v>
      </c>
      <c r="L44" s="24">
        <v>108</v>
      </c>
      <c r="M44" s="24">
        <v>239</v>
      </c>
      <c r="N44" s="24">
        <v>131</v>
      </c>
      <c r="O44" s="24" t="s">
        <v>219</v>
      </c>
      <c r="P44" s="24" t="s">
        <v>197</v>
      </c>
    </row>
    <row r="45" spans="1:16" ht="15" customHeight="1">
      <c r="A45" s="109" t="s">
        <v>58</v>
      </c>
      <c r="B45" s="109">
        <v>2286</v>
      </c>
      <c r="C45" s="110">
        <v>2451</v>
      </c>
      <c r="D45" s="109">
        <v>165</v>
      </c>
      <c r="E45" s="111">
        <v>0.06</v>
      </c>
      <c r="F45" s="112">
        <v>43361.257094907407</v>
      </c>
      <c r="G45" s="112"/>
      <c r="H45" s="83"/>
      <c r="J45" s="115" t="str">
        <f>IFERROR(VLOOKUP(K45,$A:$A,1,0),"NO REPORTA EN VERSION ACTUALIZADA")</f>
        <v>TX1026696-00-GT-1</v>
      </c>
      <c r="K45" s="24" t="s">
        <v>50</v>
      </c>
      <c r="L45" s="24">
        <v>192</v>
      </c>
      <c r="M45" s="24">
        <v>352</v>
      </c>
      <c r="N45" s="24">
        <v>160</v>
      </c>
      <c r="O45" s="24" t="s">
        <v>220</v>
      </c>
      <c r="P45" s="24" t="s">
        <v>197</v>
      </c>
    </row>
    <row r="46" spans="1:16" ht="15" customHeight="1">
      <c r="A46" s="109" t="s">
        <v>59</v>
      </c>
      <c r="B46" s="109">
        <v>4551</v>
      </c>
      <c r="C46" s="110">
        <v>4355</v>
      </c>
      <c r="D46" s="109">
        <v>-196</v>
      </c>
      <c r="E46" s="111">
        <v>0.04</v>
      </c>
      <c r="F46" s="112">
        <v>43361.257094907407</v>
      </c>
      <c r="G46" s="112"/>
      <c r="H46" s="83"/>
      <c r="J46" s="115" t="str">
        <f>IFERROR(VLOOKUP(K46,$A:$A,1,0),"NO REPORTA EN VERSION ACTUALIZADA")</f>
        <v>TX1026696-00-GTH-1</v>
      </c>
      <c r="K46" s="24" t="s">
        <v>51</v>
      </c>
      <c r="L46" s="24">
        <v>126</v>
      </c>
      <c r="M46" s="24">
        <v>428</v>
      </c>
      <c r="N46" s="24">
        <v>302</v>
      </c>
      <c r="O46" s="24" t="s">
        <v>221</v>
      </c>
      <c r="P46" s="24" t="s">
        <v>197</v>
      </c>
    </row>
    <row r="47" spans="1:16" ht="15" customHeight="1">
      <c r="A47" s="109" t="s">
        <v>62</v>
      </c>
      <c r="B47" s="109">
        <v>10</v>
      </c>
      <c r="C47" s="110">
        <v>5</v>
      </c>
      <c r="D47" s="109">
        <v>-5</v>
      </c>
      <c r="E47" s="111">
        <v>0.5</v>
      </c>
      <c r="F47" s="112">
        <v>43361.257094907407</v>
      </c>
      <c r="G47" s="112"/>
      <c r="H47" s="83"/>
      <c r="J47" s="115" t="str">
        <f>IFERROR(VLOOKUP(K47,$A:$A,1,0),"NO REPORTA EN VERSION ACTUALIZADA")</f>
        <v>NO REPORTA EN VERSION ACTUALIZADA</v>
      </c>
      <c r="K47" s="116" t="s">
        <v>52</v>
      </c>
      <c r="L47" s="116">
        <v>1</v>
      </c>
      <c r="M47" s="116">
        <v>0</v>
      </c>
      <c r="N47" s="116">
        <v>-1</v>
      </c>
      <c r="O47" s="116" t="s">
        <v>196</v>
      </c>
      <c r="P47" s="116" t="s">
        <v>197</v>
      </c>
    </row>
    <row r="48" spans="1:16" ht="15" customHeight="1">
      <c r="A48" s="109" t="s">
        <v>64</v>
      </c>
      <c r="B48" s="109">
        <v>253</v>
      </c>
      <c r="C48" s="110">
        <v>260</v>
      </c>
      <c r="D48" s="109">
        <v>7</v>
      </c>
      <c r="E48" s="111">
        <v>0.02</v>
      </c>
      <c r="F48" s="112">
        <v>43361.257094907407</v>
      </c>
      <c r="G48" s="112"/>
      <c r="H48" s="83"/>
      <c r="J48" s="115" t="str">
        <f>IFERROR(VLOOKUP(K48,$A:$A,1,0),"NO REPORTA EN VERSION ACTUALIZADA")</f>
        <v>TX1026865-00-D_02</v>
      </c>
      <c r="K48" s="24" t="s">
        <v>53</v>
      </c>
      <c r="L48" s="24">
        <v>7</v>
      </c>
      <c r="M48" s="24">
        <v>0</v>
      </c>
      <c r="N48" s="24">
        <v>-7</v>
      </c>
      <c r="O48" s="24" t="s">
        <v>196</v>
      </c>
      <c r="P48" s="24" t="s">
        <v>197</v>
      </c>
    </row>
    <row r="49" spans="1:16" ht="15" customHeight="1">
      <c r="A49" s="109" t="s">
        <v>65</v>
      </c>
      <c r="B49" s="109">
        <v>258</v>
      </c>
      <c r="C49" s="110">
        <v>247</v>
      </c>
      <c r="D49" s="109">
        <v>-11</v>
      </c>
      <c r="E49" s="111">
        <v>0.04</v>
      </c>
      <c r="F49" s="112">
        <v>43361.257094907407</v>
      </c>
      <c r="G49" s="112"/>
      <c r="H49" s="83"/>
      <c r="J49" s="115" t="str">
        <f>IFERROR(VLOOKUP(K49,$A:$A,1,0),"NO REPORTA EN VERSION ACTUALIZADA")</f>
        <v>NO REPORTA EN VERSION ACTUALIZADA</v>
      </c>
      <c r="K49" s="116" t="s">
        <v>54</v>
      </c>
      <c r="L49" s="116">
        <v>12</v>
      </c>
      <c r="M49" s="116">
        <v>35</v>
      </c>
      <c r="N49" s="116">
        <v>23</v>
      </c>
      <c r="O49" s="116" t="s">
        <v>222</v>
      </c>
      <c r="P49" s="116" t="s">
        <v>197</v>
      </c>
    </row>
    <row r="50" spans="1:16" ht="15" customHeight="1">
      <c r="A50" s="109" t="s">
        <v>67</v>
      </c>
      <c r="B50" s="109">
        <v>4</v>
      </c>
      <c r="C50" s="110">
        <v>6</v>
      </c>
      <c r="D50" s="109">
        <v>2</v>
      </c>
      <c r="E50" s="111">
        <v>0.33</v>
      </c>
      <c r="F50" s="112">
        <v>43361.257094907407</v>
      </c>
      <c r="G50" s="112"/>
      <c r="H50" s="83"/>
      <c r="J50" s="115" t="str">
        <f>IFERROR(VLOOKUP(K50,$A:$A,1,0),"NO REPORTA EN VERSION ACTUALIZADA")</f>
        <v>NO REPORTA EN VERSION ACTUALIZADA</v>
      </c>
      <c r="K50" s="116" t="s">
        <v>55</v>
      </c>
      <c r="L50" s="116">
        <v>13</v>
      </c>
      <c r="M50" s="116">
        <v>3</v>
      </c>
      <c r="N50" s="116">
        <v>-10</v>
      </c>
      <c r="O50" s="116" t="s">
        <v>223</v>
      </c>
      <c r="P50" s="116" t="s">
        <v>197</v>
      </c>
    </row>
    <row r="51" spans="1:16" ht="15" customHeight="1">
      <c r="A51" s="109" t="s">
        <v>68</v>
      </c>
      <c r="B51" s="109">
        <v>29</v>
      </c>
      <c r="C51" s="110">
        <v>31</v>
      </c>
      <c r="D51" s="109">
        <v>2</v>
      </c>
      <c r="E51" s="111">
        <v>0.06</v>
      </c>
      <c r="F51" s="112">
        <v>43361.257094907407</v>
      </c>
      <c r="G51" s="112"/>
      <c r="H51" s="83"/>
      <c r="J51" s="115" t="str">
        <f>IFERROR(VLOOKUP(K51,$A:$A,1,0),"NO REPORTA EN VERSION ACTUALIZADA")</f>
        <v>TX1026865-00-DTH-2</v>
      </c>
      <c r="K51" s="24" t="s">
        <v>56</v>
      </c>
      <c r="L51" s="24">
        <v>2</v>
      </c>
      <c r="M51" s="24">
        <v>48</v>
      </c>
      <c r="N51" s="24">
        <v>46</v>
      </c>
      <c r="O51" s="24" t="s">
        <v>215</v>
      </c>
      <c r="P51" s="24" t="s">
        <v>197</v>
      </c>
    </row>
    <row r="52" spans="1:16" ht="15" customHeight="1">
      <c r="A52" s="109" t="s">
        <v>69</v>
      </c>
      <c r="B52" s="109">
        <v>189</v>
      </c>
      <c r="C52" s="110">
        <v>160</v>
      </c>
      <c r="D52" s="109">
        <v>-29</v>
      </c>
      <c r="E52" s="111">
        <v>0.15</v>
      </c>
      <c r="F52" s="112">
        <v>43361.257094907407</v>
      </c>
      <c r="G52" s="112"/>
      <c r="H52" s="83"/>
      <c r="J52" s="115" t="str">
        <f>IFERROR(VLOOKUP(K52,$A:$A,1,0),"NO REPORTA EN VERSION ACTUALIZADA")</f>
        <v>TX1028578-01-C_03</v>
      </c>
      <c r="K52" s="24" t="s">
        <v>57</v>
      </c>
      <c r="L52" s="24">
        <v>1232</v>
      </c>
      <c r="M52" s="24">
        <v>0</v>
      </c>
      <c r="N52" s="24">
        <v>-1232</v>
      </c>
      <c r="O52" s="24" t="s">
        <v>196</v>
      </c>
      <c r="P52" s="24" t="s">
        <v>197</v>
      </c>
    </row>
    <row r="53" spans="1:16" ht="15" customHeight="1">
      <c r="A53" s="109" t="s">
        <v>70</v>
      </c>
      <c r="B53" s="109">
        <v>47</v>
      </c>
      <c r="C53" s="110">
        <v>16</v>
      </c>
      <c r="D53" s="109">
        <v>-31</v>
      </c>
      <c r="E53" s="111">
        <v>0.65</v>
      </c>
      <c r="F53" s="112">
        <v>43361.257094907407</v>
      </c>
      <c r="G53" s="112"/>
      <c r="H53" s="83"/>
      <c r="J53" s="115" t="str">
        <f>IFERROR(VLOOKUP(K53,$A:$A,1,0),"NO REPORTA EN VERSION ACTUALIZADA")</f>
        <v>TX1028578-01-CT-3</v>
      </c>
      <c r="K53" s="24" t="s">
        <v>58</v>
      </c>
      <c r="L53" s="24">
        <v>2286</v>
      </c>
      <c r="M53" s="24">
        <v>5705</v>
      </c>
      <c r="N53" s="24">
        <v>3419</v>
      </c>
      <c r="O53" s="24" t="s">
        <v>224</v>
      </c>
      <c r="P53" s="24" t="s">
        <v>197</v>
      </c>
    </row>
    <row r="54" spans="1:16" ht="15" customHeight="1">
      <c r="A54" s="109" t="s">
        <v>71</v>
      </c>
      <c r="B54" s="109">
        <v>36</v>
      </c>
      <c r="C54" s="110">
        <v>4</v>
      </c>
      <c r="D54" s="109">
        <v>-32</v>
      </c>
      <c r="E54" s="111">
        <v>0.88</v>
      </c>
      <c r="F54" s="112">
        <v>43361.257094907407</v>
      </c>
      <c r="G54" s="112"/>
      <c r="H54" s="83"/>
      <c r="J54" s="115" t="str">
        <f>IFERROR(VLOOKUP(K54,$A:$A,1,0),"NO REPORTA EN VERSION ACTUALIZADA")</f>
        <v>TX1028578-01-CTH-3</v>
      </c>
      <c r="K54" s="24" t="s">
        <v>59</v>
      </c>
      <c r="L54" s="24">
        <v>4551</v>
      </c>
      <c r="M54" s="24">
        <v>9898</v>
      </c>
      <c r="N54" s="24">
        <v>5347</v>
      </c>
      <c r="O54" s="24" t="s">
        <v>219</v>
      </c>
      <c r="P54" s="24" t="s">
        <v>197</v>
      </c>
    </row>
    <row r="55" spans="1:16" ht="15" customHeight="1">
      <c r="A55" s="109" t="s">
        <v>72</v>
      </c>
      <c r="B55" s="109">
        <v>34</v>
      </c>
      <c r="C55" s="110">
        <v>14</v>
      </c>
      <c r="D55" s="109">
        <v>-20</v>
      </c>
      <c r="E55" s="111">
        <v>0.57999999999999996</v>
      </c>
      <c r="F55" s="112">
        <v>43361.257094907407</v>
      </c>
      <c r="G55" s="112"/>
      <c r="H55" s="83"/>
      <c r="J55" s="115" t="str">
        <f>IFERROR(VLOOKUP(K55,$A:$A,1,0),"NO REPORTA EN VERSION ACTUALIZADA")</f>
        <v>NO REPORTA EN VERSION ACTUALIZADA</v>
      </c>
      <c r="K55" s="116" t="s">
        <v>60</v>
      </c>
      <c r="L55" s="116">
        <v>52</v>
      </c>
      <c r="M55" s="116">
        <v>0</v>
      </c>
      <c r="N55" s="116">
        <v>-52</v>
      </c>
      <c r="O55" s="116" t="s">
        <v>196</v>
      </c>
      <c r="P55" s="116" t="s">
        <v>197</v>
      </c>
    </row>
    <row r="56" spans="1:16" ht="15" customHeight="1">
      <c r="A56" s="109" t="s">
        <v>73</v>
      </c>
      <c r="B56" s="109">
        <v>489</v>
      </c>
      <c r="C56" s="110">
        <v>445</v>
      </c>
      <c r="D56" s="109">
        <v>-44</v>
      </c>
      <c r="E56" s="111">
        <v>0.08</v>
      </c>
      <c r="F56" s="112">
        <v>43361.257094907407</v>
      </c>
      <c r="G56" s="112"/>
      <c r="H56" s="83"/>
      <c r="J56" s="115" t="str">
        <f>IFERROR(VLOOKUP(K56,$A:$A,1,0),"NO REPORTA EN VERSION ACTUALIZADA")</f>
        <v>NO REPORTA EN VERSION ACTUALIZADA</v>
      </c>
      <c r="K56" s="116" t="s">
        <v>61</v>
      </c>
      <c r="L56" s="116">
        <v>49</v>
      </c>
      <c r="M56" s="116">
        <v>0</v>
      </c>
      <c r="N56" s="116">
        <v>-49</v>
      </c>
      <c r="O56" s="116" t="s">
        <v>196</v>
      </c>
      <c r="P56" s="116" t="s">
        <v>197</v>
      </c>
    </row>
    <row r="57" spans="1:16" ht="15" customHeight="1">
      <c r="A57" s="109" t="s">
        <v>74</v>
      </c>
      <c r="B57" s="109">
        <v>14</v>
      </c>
      <c r="C57" s="110">
        <v>11</v>
      </c>
      <c r="D57" s="109">
        <v>-3</v>
      </c>
      <c r="E57" s="111">
        <v>0.21</v>
      </c>
      <c r="F57" s="112">
        <v>43361.257094907407</v>
      </c>
      <c r="G57" s="112"/>
      <c r="H57" s="83"/>
      <c r="J57" s="115" t="str">
        <f>IFERROR(VLOOKUP(K57,$A:$A,1,0),"NO REPORTA EN VERSION ACTUALIZADA")</f>
        <v>TX1031308-01-F_02</v>
      </c>
      <c r="K57" s="24" t="s">
        <v>62</v>
      </c>
      <c r="L57" s="24">
        <v>10</v>
      </c>
      <c r="M57" s="24">
        <v>0</v>
      </c>
      <c r="N57" s="24">
        <v>-10</v>
      </c>
      <c r="O57" s="24" t="s">
        <v>196</v>
      </c>
      <c r="P57" s="24" t="s">
        <v>197</v>
      </c>
    </row>
    <row r="58" spans="1:16" ht="15" customHeight="1">
      <c r="A58" s="109" t="s">
        <v>181</v>
      </c>
      <c r="B58" s="109">
        <v>0</v>
      </c>
      <c r="C58" s="110">
        <v>2</v>
      </c>
      <c r="D58" s="109">
        <v>2</v>
      </c>
      <c r="E58" s="111">
        <v>1</v>
      </c>
      <c r="F58" s="112">
        <v>43361.257094907407</v>
      </c>
      <c r="G58" s="112"/>
      <c r="H58" s="83"/>
      <c r="J58" s="115" t="str">
        <f>IFERROR(VLOOKUP(K58,$A:$A,1,0),"NO REPORTA EN VERSION ACTUALIZADA")</f>
        <v>NO REPORTA EN VERSION ACTUALIZADA</v>
      </c>
      <c r="K58" s="116" t="s">
        <v>63</v>
      </c>
      <c r="L58" s="116">
        <v>7</v>
      </c>
      <c r="M58" s="116">
        <v>0</v>
      </c>
      <c r="N58" s="116">
        <v>-7</v>
      </c>
      <c r="O58" s="116" t="s">
        <v>196</v>
      </c>
      <c r="P58" s="116" t="s">
        <v>197</v>
      </c>
    </row>
    <row r="59" spans="1:16" ht="15" customHeight="1">
      <c r="A59" s="109" t="s">
        <v>75</v>
      </c>
      <c r="B59" s="109">
        <v>2</v>
      </c>
      <c r="C59" s="110">
        <v>3</v>
      </c>
      <c r="D59" s="109">
        <v>1</v>
      </c>
      <c r="E59" s="111">
        <v>0.33</v>
      </c>
      <c r="F59" s="112">
        <v>43361.257094907407</v>
      </c>
      <c r="G59" s="112"/>
      <c r="H59" s="83"/>
      <c r="J59" s="115" t="str">
        <f>IFERROR(VLOOKUP(K59,$A:$A,1,0),"NO REPORTA EN VERSION ACTUALIZADA")</f>
        <v>TX1031308-01-FT-2</v>
      </c>
      <c r="K59" s="24" t="s">
        <v>64</v>
      </c>
      <c r="L59" s="24">
        <v>253</v>
      </c>
      <c r="M59" s="24">
        <v>0</v>
      </c>
      <c r="N59" s="24">
        <v>-253</v>
      </c>
      <c r="O59" s="24" t="s">
        <v>196</v>
      </c>
      <c r="P59" s="24" t="s">
        <v>197</v>
      </c>
    </row>
    <row r="60" spans="1:16" ht="15" customHeight="1">
      <c r="A60" s="109" t="s">
        <v>76</v>
      </c>
      <c r="B60" s="109">
        <v>0</v>
      </c>
      <c r="C60" s="110">
        <v>1</v>
      </c>
      <c r="D60" s="109">
        <v>1</v>
      </c>
      <c r="E60" s="111">
        <v>1</v>
      </c>
      <c r="F60" s="112">
        <v>43361.257094907407</v>
      </c>
      <c r="G60" s="112"/>
      <c r="H60" s="83"/>
      <c r="J60" s="115" t="str">
        <f>IFERROR(VLOOKUP(K60,$A:$A,1,0),"NO REPORTA EN VERSION ACTUALIZADA")</f>
        <v>TX1031308-01-FTH-2</v>
      </c>
      <c r="K60" s="24" t="s">
        <v>65</v>
      </c>
      <c r="L60" s="24">
        <v>258</v>
      </c>
      <c r="M60" s="24">
        <v>0</v>
      </c>
      <c r="N60" s="24">
        <v>-258</v>
      </c>
      <c r="O60" s="24" t="s">
        <v>196</v>
      </c>
      <c r="P60" s="24" t="s">
        <v>197</v>
      </c>
    </row>
    <row r="61" spans="1:16" ht="15" customHeight="1">
      <c r="A61" s="109" t="s">
        <v>77</v>
      </c>
      <c r="B61" s="109">
        <v>0</v>
      </c>
      <c r="C61" s="110">
        <v>1</v>
      </c>
      <c r="D61" s="109">
        <v>1</v>
      </c>
      <c r="E61" s="111">
        <v>1</v>
      </c>
      <c r="F61" s="112">
        <v>43361.257094907407</v>
      </c>
      <c r="G61" s="112"/>
      <c r="H61" s="83"/>
      <c r="J61" s="115" t="str">
        <f>IFERROR(VLOOKUP(K61,$A:$A,1,0),"NO REPORTA EN VERSION ACTUALIZADA")</f>
        <v>NO REPORTA EN VERSION ACTUALIZADA</v>
      </c>
      <c r="K61" s="116" t="s">
        <v>66</v>
      </c>
      <c r="L61" s="116">
        <v>5</v>
      </c>
      <c r="M61" s="116">
        <v>0</v>
      </c>
      <c r="N61" s="116">
        <v>-5</v>
      </c>
      <c r="O61" s="116" t="s">
        <v>196</v>
      </c>
      <c r="P61" s="116" t="s">
        <v>197</v>
      </c>
    </row>
    <row r="62" spans="1:16" ht="15" customHeight="1">
      <c r="A62" s="109" t="s">
        <v>78</v>
      </c>
      <c r="B62" s="109">
        <v>0</v>
      </c>
      <c r="C62" s="110">
        <v>1</v>
      </c>
      <c r="D62" s="109">
        <v>1</v>
      </c>
      <c r="E62" s="111">
        <v>1</v>
      </c>
      <c r="F62" s="112">
        <v>43361.257094907407</v>
      </c>
      <c r="G62" s="112"/>
      <c r="H62" s="83"/>
      <c r="J62" s="115" t="str">
        <f>IFERROR(VLOOKUP(K62,$A:$A,1,0),"NO REPORTA EN VERSION ACTUALIZADA")</f>
        <v>TX1031415-01-EB-3</v>
      </c>
      <c r="K62" s="24" t="s">
        <v>67</v>
      </c>
      <c r="L62" s="24">
        <v>4</v>
      </c>
      <c r="M62" s="24">
        <v>7</v>
      </c>
      <c r="N62" s="24">
        <v>3</v>
      </c>
      <c r="O62" s="24" t="s">
        <v>225</v>
      </c>
      <c r="P62" s="24" t="s">
        <v>197</v>
      </c>
    </row>
    <row r="63" spans="1:16" ht="15" customHeight="1">
      <c r="A63" s="109" t="s">
        <v>182</v>
      </c>
      <c r="B63" s="109">
        <v>0</v>
      </c>
      <c r="C63" s="110">
        <v>5</v>
      </c>
      <c r="D63" s="109">
        <v>5</v>
      </c>
      <c r="E63" s="111">
        <v>1</v>
      </c>
      <c r="F63" s="112">
        <v>43361.257094907407</v>
      </c>
      <c r="G63" s="112"/>
      <c r="H63" s="83"/>
      <c r="J63" s="115" t="str">
        <f>IFERROR(VLOOKUP(K63,$A:$A,1,0),"NO REPORTA EN VERSION ACTUALIZADA")</f>
        <v>TX1031415-01-ET-3</v>
      </c>
      <c r="K63" s="24" t="s">
        <v>68</v>
      </c>
      <c r="L63" s="24">
        <v>29</v>
      </c>
      <c r="M63" s="24">
        <v>67</v>
      </c>
      <c r="N63" s="24">
        <v>38</v>
      </c>
      <c r="O63" s="24" t="s">
        <v>226</v>
      </c>
      <c r="P63" s="24" t="s">
        <v>197</v>
      </c>
    </row>
    <row r="64" spans="1:16" ht="15" customHeight="1">
      <c r="A64" s="109" t="s">
        <v>183</v>
      </c>
      <c r="B64" s="109">
        <v>0</v>
      </c>
      <c r="C64" s="110">
        <v>12</v>
      </c>
      <c r="D64" s="109">
        <v>12</v>
      </c>
      <c r="E64" s="111">
        <v>1</v>
      </c>
      <c r="F64" s="112">
        <v>43361.257094907407</v>
      </c>
      <c r="G64" s="112"/>
      <c r="H64" s="83"/>
      <c r="J64" s="115" t="str">
        <f>IFERROR(VLOOKUP(K64,$A:$A,1,0),"NO REPORTA EN VERSION ACTUALIZADA")</f>
        <v>TX1031415-01-ETH-3</v>
      </c>
      <c r="K64" s="24" t="s">
        <v>69</v>
      </c>
      <c r="L64" s="24">
        <v>189</v>
      </c>
      <c r="M64" s="24">
        <v>348</v>
      </c>
      <c r="N64" s="24">
        <v>159</v>
      </c>
      <c r="O64" s="24" t="s">
        <v>220</v>
      </c>
      <c r="P64" s="24" t="s">
        <v>197</v>
      </c>
    </row>
    <row r="65" spans="1:16" ht="15" customHeight="1">
      <c r="A65" s="109" t="s">
        <v>81</v>
      </c>
      <c r="B65" s="109">
        <v>354</v>
      </c>
      <c r="C65" s="110">
        <v>310</v>
      </c>
      <c r="D65" s="109">
        <v>-44</v>
      </c>
      <c r="E65" s="111">
        <v>0.12</v>
      </c>
      <c r="F65" s="112">
        <v>43361.257094907407</v>
      </c>
      <c r="G65" s="112"/>
      <c r="H65" s="83"/>
      <c r="J65" s="115" t="str">
        <f>IFERROR(VLOOKUP(K65,$A:$A,1,0),"NO REPORTA EN VERSION ACTUALIZADA")</f>
        <v>TX1031503-01-F_04</v>
      </c>
      <c r="K65" s="24" t="s">
        <v>70</v>
      </c>
      <c r="L65" s="24">
        <v>47</v>
      </c>
      <c r="M65" s="24">
        <v>0</v>
      </c>
      <c r="N65" s="24">
        <v>-47</v>
      </c>
      <c r="O65" s="24" t="s">
        <v>196</v>
      </c>
      <c r="P65" s="24" t="s">
        <v>197</v>
      </c>
    </row>
    <row r="66" spans="1:16" ht="15" customHeight="1">
      <c r="A66" s="109" t="s">
        <v>82</v>
      </c>
      <c r="B66" s="109">
        <v>25</v>
      </c>
      <c r="C66" s="110">
        <v>11</v>
      </c>
      <c r="D66" s="109">
        <v>-14</v>
      </c>
      <c r="E66" s="111">
        <v>0.56000000000000005</v>
      </c>
      <c r="F66" s="112">
        <v>43361.257094907407</v>
      </c>
      <c r="G66" s="112"/>
      <c r="H66" s="83"/>
      <c r="J66" s="115" t="str">
        <f>IFERROR(VLOOKUP(K66,$A:$A,1,0),"NO REPORTA EN VERSION ACTUALIZADA")</f>
        <v>TX1031503-01-FB-4</v>
      </c>
      <c r="K66" s="24" t="s">
        <v>71</v>
      </c>
      <c r="L66" s="24">
        <v>36</v>
      </c>
      <c r="M66" s="24">
        <v>70</v>
      </c>
      <c r="N66" s="24">
        <v>34</v>
      </c>
      <c r="O66" s="24" t="s">
        <v>227</v>
      </c>
      <c r="P66" s="24" t="s">
        <v>197</v>
      </c>
    </row>
    <row r="67" spans="1:16" ht="15" customHeight="1">
      <c r="A67" s="109" t="s">
        <v>83</v>
      </c>
      <c r="B67" s="109">
        <v>352</v>
      </c>
      <c r="C67" s="110">
        <v>351</v>
      </c>
      <c r="D67" s="109">
        <v>-1</v>
      </c>
      <c r="E67" s="111">
        <v>0</v>
      </c>
      <c r="F67" s="112">
        <v>43361.257094907407</v>
      </c>
      <c r="G67" s="112"/>
      <c r="H67" s="83"/>
      <c r="J67" s="115" t="str">
        <f>IFERROR(VLOOKUP(K67,$A:$A,1,0),"NO REPORTA EN VERSION ACTUALIZADA")</f>
        <v>TX1031503-01-FT-4</v>
      </c>
      <c r="K67" s="24" t="s">
        <v>72</v>
      </c>
      <c r="L67" s="24">
        <v>34</v>
      </c>
      <c r="M67" s="24">
        <v>27</v>
      </c>
      <c r="N67" s="24">
        <v>-7</v>
      </c>
      <c r="O67" s="24" t="s">
        <v>228</v>
      </c>
      <c r="P67" s="24" t="s">
        <v>197</v>
      </c>
    </row>
    <row r="68" spans="1:16" ht="15" customHeight="1">
      <c r="A68" s="109" t="s">
        <v>84</v>
      </c>
      <c r="B68" s="109">
        <v>367</v>
      </c>
      <c r="C68" s="110">
        <v>352</v>
      </c>
      <c r="D68" s="109">
        <v>-15</v>
      </c>
      <c r="E68" s="111">
        <v>0.04</v>
      </c>
      <c r="F68" s="112">
        <v>43361.257094907407</v>
      </c>
      <c r="G68" s="112"/>
      <c r="H68" s="83"/>
      <c r="J68" s="115" t="str">
        <f>IFERROR(VLOOKUP(K68,$A:$A,1,0),"NO REPORTA EN VERSION ACTUALIZADA")</f>
        <v>TX1031503-01-FTH-4</v>
      </c>
      <c r="K68" s="24" t="s">
        <v>73</v>
      </c>
      <c r="L68" s="24">
        <v>489</v>
      </c>
      <c r="M68" s="24">
        <v>1002</v>
      </c>
      <c r="N68" s="24">
        <v>513</v>
      </c>
      <c r="O68" s="24" t="s">
        <v>229</v>
      </c>
      <c r="P68" s="24" t="s">
        <v>197</v>
      </c>
    </row>
    <row r="69" spans="1:16" ht="15" customHeight="1">
      <c r="A69" s="109" t="s">
        <v>184</v>
      </c>
      <c r="B69" s="109">
        <v>792</v>
      </c>
      <c r="C69" s="110">
        <v>42840</v>
      </c>
      <c r="D69" s="109">
        <v>42048</v>
      </c>
      <c r="E69" s="111">
        <v>0.98</v>
      </c>
      <c r="F69" s="112">
        <v>43361.257094907407</v>
      </c>
      <c r="G69" s="112"/>
      <c r="H69" s="83"/>
      <c r="J69" s="115" t="str">
        <f>IFERROR(VLOOKUP(K69,$A:$A,1,0),"NO REPORTA EN VERSION ACTUALIZADA")</f>
        <v>TX1031503-01-G_01</v>
      </c>
      <c r="K69" s="24" t="s">
        <v>74</v>
      </c>
      <c r="L69" s="24">
        <v>14</v>
      </c>
      <c r="M69" s="24">
        <v>0</v>
      </c>
      <c r="N69" s="24">
        <v>-14</v>
      </c>
      <c r="O69" s="24" t="s">
        <v>196</v>
      </c>
      <c r="P69" s="24" t="s">
        <v>197</v>
      </c>
    </row>
    <row r="70" spans="1:16" ht="15" customHeight="1">
      <c r="A70" s="109" t="s">
        <v>87</v>
      </c>
      <c r="B70" s="109">
        <v>25</v>
      </c>
      <c r="C70" s="110">
        <v>14</v>
      </c>
      <c r="D70" s="109">
        <v>-11</v>
      </c>
      <c r="E70" s="111">
        <v>0.44</v>
      </c>
      <c r="F70" s="112">
        <v>43361.257094907407</v>
      </c>
      <c r="G70" s="112"/>
      <c r="H70" s="83"/>
      <c r="J70" s="115" t="str">
        <f>IFERROR(VLOOKUP(K70,$A:$A,1,0),"NO REPORTA EN VERSION ACTUALIZADA")</f>
        <v>TX1031503-01-GTH-1</v>
      </c>
      <c r="K70" s="24" t="s">
        <v>75</v>
      </c>
      <c r="L70" s="24">
        <v>2</v>
      </c>
      <c r="M70" s="24">
        <v>0</v>
      </c>
      <c r="N70" s="24">
        <v>-2</v>
      </c>
      <c r="O70" s="24" t="s">
        <v>196</v>
      </c>
      <c r="P70" s="24" t="s">
        <v>197</v>
      </c>
    </row>
    <row r="71" spans="1:16" ht="15" customHeight="1">
      <c r="A71" s="109" t="s">
        <v>89</v>
      </c>
      <c r="B71" s="109">
        <v>24</v>
      </c>
      <c r="C71" s="110">
        <v>11</v>
      </c>
      <c r="D71" s="109">
        <v>-13</v>
      </c>
      <c r="E71" s="111">
        <v>0.54</v>
      </c>
      <c r="F71" s="112">
        <v>43361.257094907407</v>
      </c>
      <c r="G71" s="112"/>
      <c r="H71" s="83"/>
      <c r="J71" s="115" t="str">
        <f>IFERROR(VLOOKUP(K71,$A:$A,1,0),"NO REPORTA EN VERSION ACTUALIZADA")</f>
        <v>TX1031503-02-AB-3</v>
      </c>
      <c r="K71" s="24" t="s">
        <v>76</v>
      </c>
      <c r="L71" s="24">
        <v>0</v>
      </c>
      <c r="M71" s="24">
        <v>30</v>
      </c>
      <c r="N71" s="24">
        <v>30</v>
      </c>
      <c r="O71" s="24" t="s">
        <v>196</v>
      </c>
      <c r="P71" s="24" t="s">
        <v>197</v>
      </c>
    </row>
    <row r="72" spans="1:16" ht="15" customHeight="1">
      <c r="A72" s="109" t="s">
        <v>90</v>
      </c>
      <c r="B72" s="109">
        <v>123</v>
      </c>
      <c r="C72" s="110">
        <v>133</v>
      </c>
      <c r="D72" s="109">
        <v>10</v>
      </c>
      <c r="E72" s="111">
        <v>7.0000000000000007E-2</v>
      </c>
      <c r="F72" s="112">
        <v>43361.257094907407</v>
      </c>
      <c r="G72" s="112"/>
      <c r="H72" s="83"/>
      <c r="J72" s="115" t="str">
        <f>IFERROR(VLOOKUP(K72,$A:$A,1,0),"NO REPORTA EN VERSION ACTUALIZADA")</f>
        <v>TX1031503-02-AT-3</v>
      </c>
      <c r="K72" s="24" t="s">
        <v>77</v>
      </c>
      <c r="L72" s="24">
        <v>0</v>
      </c>
      <c r="M72" s="24">
        <v>6</v>
      </c>
      <c r="N72" s="24">
        <v>6</v>
      </c>
      <c r="O72" s="24" t="s">
        <v>196</v>
      </c>
      <c r="P72" s="24" t="s">
        <v>197</v>
      </c>
    </row>
    <row r="73" spans="1:16" ht="15" customHeight="1">
      <c r="A73" s="109" t="s">
        <v>230</v>
      </c>
      <c r="B73" s="109">
        <v>73</v>
      </c>
      <c r="C73" s="110">
        <v>66</v>
      </c>
      <c r="D73" s="109">
        <v>-7</v>
      </c>
      <c r="E73" s="111">
        <v>0.09</v>
      </c>
      <c r="F73" s="112">
        <v>43361.257094907407</v>
      </c>
      <c r="G73" s="112"/>
      <c r="H73" s="83"/>
      <c r="J73" s="115" t="str">
        <f>IFERROR(VLOOKUP(K73,$A:$A,1,0),"NO REPORTA EN VERSION ACTUALIZADA")</f>
        <v>TX1031503-02-ATH-3</v>
      </c>
      <c r="K73" s="24" t="s">
        <v>78</v>
      </c>
      <c r="L73" s="24">
        <v>0</v>
      </c>
      <c r="M73" s="24">
        <v>23</v>
      </c>
      <c r="N73" s="24">
        <v>23</v>
      </c>
      <c r="O73" s="24" t="s">
        <v>196</v>
      </c>
      <c r="P73" s="24" t="s">
        <v>197</v>
      </c>
    </row>
    <row r="74" spans="1:16" ht="15" customHeight="1">
      <c r="A74" s="109" t="s">
        <v>231</v>
      </c>
      <c r="B74" s="109">
        <v>48</v>
      </c>
      <c r="C74" s="110">
        <v>269</v>
      </c>
      <c r="D74" s="109">
        <v>221</v>
      </c>
      <c r="E74" s="111">
        <v>0.82</v>
      </c>
      <c r="F74" s="112">
        <v>43361.257094907407</v>
      </c>
      <c r="G74" s="112"/>
      <c r="H74" s="83"/>
      <c r="J74" s="115" t="str">
        <f>IFERROR(VLOOKUP(K74,$A:$A,1,0),"NO REPORTA EN VERSION ACTUALIZADA")</f>
        <v>NO REPORTA EN VERSION ACTUALIZADA</v>
      </c>
      <c r="K74" s="116" t="s">
        <v>79</v>
      </c>
      <c r="L74" s="116">
        <v>0</v>
      </c>
      <c r="M74" s="116">
        <v>7</v>
      </c>
      <c r="N74" s="116">
        <v>7</v>
      </c>
      <c r="O74" s="116" t="s">
        <v>196</v>
      </c>
      <c r="P74" s="116" t="s">
        <v>197</v>
      </c>
    </row>
    <row r="75" spans="1:16" ht="15" customHeight="1">
      <c r="A75" s="109" t="s">
        <v>95</v>
      </c>
      <c r="B75" s="109">
        <v>12</v>
      </c>
      <c r="C75" s="110">
        <v>51984</v>
      </c>
      <c r="D75" s="109">
        <v>51972</v>
      </c>
      <c r="E75" s="111">
        <v>0.99</v>
      </c>
      <c r="F75" s="112">
        <v>43361.257094907407</v>
      </c>
      <c r="G75" s="112"/>
      <c r="H75" s="83"/>
      <c r="J75" s="115" t="str">
        <f>IFERROR(VLOOKUP(K75,$A:$A,1,0),"NO REPORTA EN VERSION ACTUALIZADA")</f>
        <v>NO REPORTA EN VERSION ACTUALIZADA</v>
      </c>
      <c r="K75" s="116" t="s">
        <v>80</v>
      </c>
      <c r="L75" s="116">
        <v>0</v>
      </c>
      <c r="M75" s="116">
        <v>7</v>
      </c>
      <c r="N75" s="116">
        <v>7</v>
      </c>
      <c r="O75" s="116" t="s">
        <v>196</v>
      </c>
      <c r="P75" s="116" t="s">
        <v>197</v>
      </c>
    </row>
    <row r="76" spans="1:16" ht="15" customHeight="1">
      <c r="A76" s="109" t="s">
        <v>96</v>
      </c>
      <c r="B76" s="109">
        <v>0</v>
      </c>
      <c r="C76" s="110">
        <v>90</v>
      </c>
      <c r="D76" s="109">
        <v>90</v>
      </c>
      <c r="E76" s="111">
        <v>1</v>
      </c>
      <c r="F76" s="112">
        <v>43361.257094907407</v>
      </c>
      <c r="G76" s="112"/>
      <c r="H76" s="83"/>
      <c r="J76" s="115" t="str">
        <f>IFERROR(VLOOKUP(K76,$A:$A,1,0),"NO REPORTA EN VERSION ACTUALIZADA")</f>
        <v>TX1034827-01-E_01</v>
      </c>
      <c r="K76" s="24" t="s">
        <v>81</v>
      </c>
      <c r="L76" s="24">
        <v>354</v>
      </c>
      <c r="M76" s="24">
        <v>35</v>
      </c>
      <c r="N76" s="24">
        <v>-319</v>
      </c>
      <c r="O76" s="24" t="s">
        <v>232</v>
      </c>
      <c r="P76" s="24" t="s">
        <v>197</v>
      </c>
    </row>
    <row r="77" spans="1:16" ht="15" customHeight="1">
      <c r="A77" s="109" t="s">
        <v>97</v>
      </c>
      <c r="B77" s="109">
        <v>32</v>
      </c>
      <c r="C77" s="110">
        <v>785</v>
      </c>
      <c r="D77" s="109">
        <v>753</v>
      </c>
      <c r="E77" s="111">
        <v>0.95</v>
      </c>
      <c r="F77" s="112">
        <v>43361.257094907407</v>
      </c>
      <c r="G77" s="112"/>
      <c r="H77" s="83"/>
      <c r="J77" s="115" t="str">
        <f>IFERROR(VLOOKUP(K77,$A:$A,1,0),"NO REPORTA EN VERSION ACTUALIZADA")</f>
        <v>TX1034827-01-EB-1</v>
      </c>
      <c r="K77" s="24" t="s">
        <v>82</v>
      </c>
      <c r="L77" s="24">
        <v>25</v>
      </c>
      <c r="M77" s="24">
        <v>42</v>
      </c>
      <c r="N77" s="24">
        <v>17</v>
      </c>
      <c r="O77" s="24" t="s">
        <v>233</v>
      </c>
      <c r="P77" s="24" t="s">
        <v>197</v>
      </c>
    </row>
    <row r="78" spans="1:16" ht="15" customHeight="1">
      <c r="A78" s="109" t="s">
        <v>98</v>
      </c>
      <c r="B78" s="109">
        <v>40</v>
      </c>
      <c r="C78" s="110">
        <v>86</v>
      </c>
      <c r="D78" s="109">
        <v>46</v>
      </c>
      <c r="E78" s="111">
        <v>0.53</v>
      </c>
      <c r="F78" s="112">
        <v>43361.257094907407</v>
      </c>
      <c r="G78" s="112"/>
      <c r="H78" s="83"/>
      <c r="J78" s="115" t="str">
        <f>IFERROR(VLOOKUP(K78,$A:$A,1,0),"NO REPORTA EN VERSION ACTUALIZADA")</f>
        <v>TX1034827-01-ET-1</v>
      </c>
      <c r="K78" s="24" t="s">
        <v>83</v>
      </c>
      <c r="L78" s="24">
        <v>352</v>
      </c>
      <c r="M78" s="24">
        <v>41</v>
      </c>
      <c r="N78" s="24">
        <v>-311</v>
      </c>
      <c r="O78" s="24" t="s">
        <v>204</v>
      </c>
      <c r="P78" s="24" t="s">
        <v>197</v>
      </c>
    </row>
    <row r="79" spans="1:16" ht="15" customHeight="1">
      <c r="A79" s="109" t="s">
        <v>99</v>
      </c>
      <c r="B79" s="109">
        <v>31</v>
      </c>
      <c r="C79" s="110">
        <v>13</v>
      </c>
      <c r="D79" s="109">
        <v>-18</v>
      </c>
      <c r="E79" s="111">
        <v>0.57999999999999996</v>
      </c>
      <c r="F79" s="112">
        <v>43361.257094907407</v>
      </c>
      <c r="G79" s="112"/>
      <c r="H79" s="83"/>
      <c r="J79" s="115" t="str">
        <f>IFERROR(VLOOKUP(K79,$A:$A,1,0),"NO REPORTA EN VERSION ACTUALIZADA")</f>
        <v>TX1034827-01-ETH-1</v>
      </c>
      <c r="K79" s="24" t="s">
        <v>84</v>
      </c>
      <c r="L79" s="24">
        <v>367</v>
      </c>
      <c r="M79" s="24">
        <v>1926</v>
      </c>
      <c r="N79" s="24">
        <v>1559</v>
      </c>
      <c r="O79" s="24" t="s">
        <v>234</v>
      </c>
      <c r="P79" s="24" t="s">
        <v>197</v>
      </c>
    </row>
    <row r="80" spans="1:16" ht="15" customHeight="1">
      <c r="A80" s="109" t="s">
        <v>101</v>
      </c>
      <c r="B80" s="109">
        <v>97</v>
      </c>
      <c r="C80" s="110">
        <v>109</v>
      </c>
      <c r="D80" s="109">
        <v>12</v>
      </c>
      <c r="E80" s="111">
        <v>0.11</v>
      </c>
      <c r="F80" s="112">
        <v>43361.257094907407</v>
      </c>
      <c r="G80" s="112"/>
      <c r="H80" s="83"/>
      <c r="J80" s="115" t="str">
        <f>IFERROR(VLOOKUP(K80,$A:$A,1,0),"NO REPORTA EN VERSION ACTUALIZADA")</f>
        <v>NO REPORTA EN VERSION ACTUALIZADA</v>
      </c>
      <c r="K80" s="116" t="s">
        <v>235</v>
      </c>
      <c r="L80" s="116">
        <v>8</v>
      </c>
      <c r="M80" s="116">
        <v>0</v>
      </c>
      <c r="N80" s="116">
        <v>-8</v>
      </c>
      <c r="O80" s="116" t="s">
        <v>196</v>
      </c>
      <c r="P80" s="116" t="s">
        <v>197</v>
      </c>
    </row>
    <row r="81" spans="1:16" ht="15" customHeight="1">
      <c r="A81" s="109" t="s">
        <v>102</v>
      </c>
      <c r="B81" s="109">
        <v>775</v>
      </c>
      <c r="C81" s="110">
        <v>760</v>
      </c>
      <c r="D81" s="109">
        <v>-15</v>
      </c>
      <c r="E81" s="111">
        <v>0.01</v>
      </c>
      <c r="F81" s="112">
        <v>43361.257094907407</v>
      </c>
      <c r="G81" s="112"/>
      <c r="H81" s="83"/>
      <c r="J81" s="115" t="str">
        <f>IFERROR(VLOOKUP(K81,$A:$A,1,0),"NO REPORTA EN VERSION ACTUALIZADA")</f>
        <v>NO REPORTA EN VERSION ACTUALIZADA</v>
      </c>
      <c r="K81" s="116" t="s">
        <v>85</v>
      </c>
      <c r="L81" s="116">
        <v>0</v>
      </c>
      <c r="M81" s="116">
        <v>2</v>
      </c>
      <c r="N81" s="116">
        <v>2</v>
      </c>
      <c r="O81" s="116" t="s">
        <v>196</v>
      </c>
      <c r="P81" s="116" t="s">
        <v>197</v>
      </c>
    </row>
    <row r="82" spans="1:16" ht="15" customHeight="1">
      <c r="A82" s="109" t="s">
        <v>103</v>
      </c>
      <c r="B82" s="109">
        <v>571</v>
      </c>
      <c r="C82" s="110">
        <v>318</v>
      </c>
      <c r="D82" s="109">
        <v>-253</v>
      </c>
      <c r="E82" s="111">
        <v>0.44</v>
      </c>
      <c r="F82" s="112">
        <v>43361.257094907407</v>
      </c>
      <c r="G82" s="112"/>
      <c r="H82" s="83"/>
      <c r="J82" s="115" t="str">
        <f>IFERROR(VLOOKUP(K82,$A:$A,1,0),"NO REPORTA EN VERSION ACTUALIZADA")</f>
        <v>NO REPORTA EN VERSION ACTUALIZADA</v>
      </c>
      <c r="K82" s="116" t="s">
        <v>86</v>
      </c>
      <c r="L82" s="116">
        <v>0</v>
      </c>
      <c r="M82" s="116">
        <v>2</v>
      </c>
      <c r="N82" s="116">
        <v>2</v>
      </c>
      <c r="O82" s="116" t="s">
        <v>196</v>
      </c>
      <c r="P82" s="116" t="s">
        <v>197</v>
      </c>
    </row>
    <row r="83" spans="1:16" ht="15" customHeight="1">
      <c r="A83" s="109" t="s">
        <v>107</v>
      </c>
      <c r="B83" s="109">
        <v>140</v>
      </c>
      <c r="C83" s="110">
        <v>86</v>
      </c>
      <c r="D83" s="109">
        <v>-54</v>
      </c>
      <c r="E83" s="111">
        <v>0.38</v>
      </c>
      <c r="F83" s="112">
        <v>43361.257094907407</v>
      </c>
      <c r="G83" s="112"/>
      <c r="H83" s="83"/>
      <c r="J83" s="115" t="str">
        <f>IFERROR(VLOOKUP(K83,$A:$A,1,0),"NO REPORTA EN VERSION ACTUALIZADA")</f>
        <v>TX1041562-00-B_02</v>
      </c>
      <c r="K83" s="24" t="s">
        <v>87</v>
      </c>
      <c r="L83" s="24">
        <v>25</v>
      </c>
      <c r="M83" s="24">
        <v>0</v>
      </c>
      <c r="N83" s="24">
        <v>-25</v>
      </c>
      <c r="O83" s="24" t="s">
        <v>196</v>
      </c>
      <c r="P83" s="24" t="s">
        <v>197</v>
      </c>
    </row>
    <row r="84" spans="1:16" ht="15" customHeight="1">
      <c r="A84" s="109" t="s">
        <v>108</v>
      </c>
      <c r="B84" s="109">
        <v>3</v>
      </c>
      <c r="C84" s="110">
        <v>3</v>
      </c>
      <c r="D84" s="109">
        <v>0</v>
      </c>
      <c r="E84" s="111">
        <v>0</v>
      </c>
      <c r="F84" s="112">
        <v>43361.257094907407</v>
      </c>
      <c r="G84" s="112"/>
      <c r="H84" s="83"/>
      <c r="J84" s="115" t="str">
        <f>IFERROR(VLOOKUP(K84,$A:$A,1,0),"NO REPORTA EN VERSION ACTUALIZADA")</f>
        <v>NO REPORTA EN VERSION ACTUALIZADA</v>
      </c>
      <c r="K84" s="116" t="s">
        <v>88</v>
      </c>
      <c r="L84" s="116">
        <v>46</v>
      </c>
      <c r="M84" s="116">
        <v>24</v>
      </c>
      <c r="N84" s="116">
        <v>-22</v>
      </c>
      <c r="O84" s="116" t="s">
        <v>236</v>
      </c>
      <c r="P84" s="116" t="s">
        <v>197</v>
      </c>
    </row>
    <row r="85" spans="1:16" ht="15" customHeight="1">
      <c r="A85" s="109" t="s">
        <v>109</v>
      </c>
      <c r="B85" s="109">
        <v>28</v>
      </c>
      <c r="C85" s="110">
        <v>30</v>
      </c>
      <c r="D85" s="109">
        <v>2</v>
      </c>
      <c r="E85" s="111">
        <v>0.06</v>
      </c>
      <c r="F85" s="112">
        <v>43361.257094907407</v>
      </c>
      <c r="G85" s="112"/>
      <c r="H85" s="83"/>
      <c r="J85" s="115" t="str">
        <f>IFERROR(VLOOKUP(K85,$A:$A,1,0),"NO REPORTA EN VERSION ACTUALIZADA")</f>
        <v>TX1041562-00-BT-2</v>
      </c>
      <c r="K85" s="24" t="s">
        <v>89</v>
      </c>
      <c r="L85" s="24">
        <v>24</v>
      </c>
      <c r="M85" s="24">
        <v>18</v>
      </c>
      <c r="N85" s="24">
        <v>-6</v>
      </c>
      <c r="O85" s="24" t="s">
        <v>237</v>
      </c>
      <c r="P85" s="24" t="s">
        <v>197</v>
      </c>
    </row>
    <row r="86" spans="1:16" ht="15" customHeight="1">
      <c r="A86" s="109" t="s">
        <v>110</v>
      </c>
      <c r="B86" s="109">
        <v>75</v>
      </c>
      <c r="C86" s="110">
        <v>57</v>
      </c>
      <c r="D86" s="109">
        <v>-18</v>
      </c>
      <c r="E86" s="111">
        <v>0.24</v>
      </c>
      <c r="F86" s="112">
        <v>43361.257094907407</v>
      </c>
      <c r="G86" s="112"/>
      <c r="H86" s="83"/>
      <c r="J86" s="115" t="str">
        <f>IFERROR(VLOOKUP(K86,$A:$A,1,0),"NO REPORTA EN VERSION ACTUALIZADA")</f>
        <v>TX1041562-00-BTH-2</v>
      </c>
      <c r="K86" s="24" t="s">
        <v>90</v>
      </c>
      <c r="L86" s="24">
        <v>123</v>
      </c>
      <c r="M86" s="24">
        <v>316</v>
      </c>
      <c r="N86" s="24">
        <v>193</v>
      </c>
      <c r="O86" s="24" t="s">
        <v>238</v>
      </c>
      <c r="P86" s="24" t="s">
        <v>197</v>
      </c>
    </row>
    <row r="87" spans="1:16" ht="15" customHeight="1">
      <c r="A87" s="109" t="s">
        <v>111</v>
      </c>
      <c r="B87" s="109">
        <v>18</v>
      </c>
      <c r="C87" s="110">
        <v>3</v>
      </c>
      <c r="D87" s="109">
        <v>-15</v>
      </c>
      <c r="E87" s="111">
        <v>0.83</v>
      </c>
      <c r="F87" s="112">
        <v>43361.257094907407</v>
      </c>
      <c r="G87" s="112"/>
      <c r="H87" s="83"/>
      <c r="J87" s="115" t="str">
        <f>IFERROR(VLOOKUP(K87,$A:$A,1,0),"NO REPORTA EN VERSION ACTUALIZADA")</f>
        <v>TX1043900-00-E_01</v>
      </c>
      <c r="K87" s="24" t="s">
        <v>230</v>
      </c>
      <c r="L87" s="24">
        <v>8</v>
      </c>
      <c r="M87" s="24">
        <v>0</v>
      </c>
      <c r="N87" s="24">
        <v>-8</v>
      </c>
      <c r="O87" s="24" t="s">
        <v>196</v>
      </c>
      <c r="P87" s="24" t="s">
        <v>197</v>
      </c>
    </row>
    <row r="88" spans="1:16" ht="15" customHeight="1">
      <c r="A88" s="109" t="s">
        <v>112</v>
      </c>
      <c r="B88" s="109">
        <v>372</v>
      </c>
      <c r="C88" s="110">
        <v>407</v>
      </c>
      <c r="D88" s="109">
        <v>35</v>
      </c>
      <c r="E88" s="111">
        <v>0.08</v>
      </c>
      <c r="F88" s="112">
        <v>43361.257094907407</v>
      </c>
      <c r="G88" s="112"/>
      <c r="H88" s="83"/>
      <c r="J88" s="115" t="str">
        <f>IFERROR(VLOOKUP(K88,$A:$A,1,0),"NO REPORTA EN VERSION ACTUALIZADA")</f>
        <v>TX1045451-00-H_01</v>
      </c>
      <c r="K88" s="24" t="s">
        <v>231</v>
      </c>
      <c r="L88" s="24">
        <v>22</v>
      </c>
      <c r="M88" s="24">
        <v>0</v>
      </c>
      <c r="N88" s="24">
        <v>-22</v>
      </c>
      <c r="O88" s="24" t="s">
        <v>196</v>
      </c>
      <c r="P88" s="24" t="s">
        <v>197</v>
      </c>
    </row>
    <row r="89" spans="1:16" ht="15" customHeight="1">
      <c r="A89" s="109" t="s">
        <v>113</v>
      </c>
      <c r="B89" s="109">
        <v>0</v>
      </c>
      <c r="C89" s="110">
        <v>3</v>
      </c>
      <c r="D89" s="109">
        <v>3</v>
      </c>
      <c r="E89" s="111">
        <v>1</v>
      </c>
      <c r="F89" s="112">
        <v>43361.257094907407</v>
      </c>
      <c r="G89" s="112"/>
      <c r="H89" s="83"/>
      <c r="J89" s="115" t="str">
        <f>IFERROR(VLOOKUP(K89,$A:$A,1,0),"NO REPORTA EN VERSION ACTUALIZADA")</f>
        <v>NO REPORTA EN VERSION ACTUALIZADA</v>
      </c>
      <c r="K89" s="116" t="s">
        <v>91</v>
      </c>
      <c r="L89" s="116">
        <v>0</v>
      </c>
      <c r="M89" s="116">
        <v>1</v>
      </c>
      <c r="N89" s="116">
        <v>1</v>
      </c>
      <c r="O89" s="116" t="s">
        <v>196</v>
      </c>
      <c r="P89" s="116" t="s">
        <v>197</v>
      </c>
    </row>
    <row r="90" spans="1:16" ht="15" customHeight="1">
      <c r="A90" s="109" t="s">
        <v>117</v>
      </c>
      <c r="B90" s="109">
        <v>158</v>
      </c>
      <c r="C90" s="110">
        <v>188</v>
      </c>
      <c r="D90" s="109">
        <v>30</v>
      </c>
      <c r="E90" s="111">
        <v>0.15</v>
      </c>
      <c r="F90" s="112">
        <v>43361.257094907407</v>
      </c>
      <c r="G90" s="112"/>
      <c r="H90" s="83"/>
      <c r="J90" s="115" t="str">
        <f>IFERROR(VLOOKUP(K90,$A:$A,1,0),"NO REPORTA EN VERSION ACTUALIZADA")</f>
        <v>NO REPORTA EN VERSION ACTUALIZADA</v>
      </c>
      <c r="K90" s="116" t="s">
        <v>92</v>
      </c>
      <c r="L90" s="116">
        <v>0</v>
      </c>
      <c r="M90" s="116">
        <v>1</v>
      </c>
      <c r="N90" s="116">
        <v>1</v>
      </c>
      <c r="O90" s="116" t="s">
        <v>196</v>
      </c>
      <c r="P90" s="116" t="s">
        <v>197</v>
      </c>
    </row>
    <row r="91" spans="1:16" ht="15" customHeight="1">
      <c r="A91" s="109" t="s">
        <v>118</v>
      </c>
      <c r="B91" s="109">
        <v>185</v>
      </c>
      <c r="C91" s="110">
        <v>162</v>
      </c>
      <c r="D91" s="109">
        <v>-23</v>
      </c>
      <c r="E91" s="111">
        <v>0.12</v>
      </c>
      <c r="F91" s="112">
        <v>43361.257094907407</v>
      </c>
      <c r="G91" s="112"/>
      <c r="H91" s="83"/>
      <c r="J91" s="115" t="str">
        <f>IFERROR(VLOOKUP(K91,$A:$A,1,0),"NO REPORTA EN VERSION ACTUALIZADA")</f>
        <v>NO REPORTA EN VERSION ACTUALIZADA</v>
      </c>
      <c r="K91" s="116" t="s">
        <v>93</v>
      </c>
      <c r="L91" s="116">
        <v>0</v>
      </c>
      <c r="M91" s="116">
        <v>2</v>
      </c>
      <c r="N91" s="116">
        <v>2</v>
      </c>
      <c r="O91" s="116" t="s">
        <v>196</v>
      </c>
      <c r="P91" s="116" t="s">
        <v>197</v>
      </c>
    </row>
    <row r="92" spans="1:16" ht="15" customHeight="1">
      <c r="A92" s="109" t="s">
        <v>119</v>
      </c>
      <c r="B92" s="109">
        <v>342</v>
      </c>
      <c r="C92" s="110">
        <v>100</v>
      </c>
      <c r="D92" s="109">
        <v>-242</v>
      </c>
      <c r="E92" s="111">
        <v>0.7</v>
      </c>
      <c r="F92" s="112">
        <v>43361.257094907407</v>
      </c>
      <c r="G92" s="112"/>
      <c r="H92" s="83"/>
      <c r="J92" s="115" t="str">
        <f>IFERROR(VLOOKUP(K92,$A:$A,1,0),"NO REPORTA EN VERSION ACTUALIZADA")</f>
        <v>NO REPORTA EN VERSION ACTUALIZADA</v>
      </c>
      <c r="K92" s="116" t="s">
        <v>94</v>
      </c>
      <c r="L92" s="116">
        <v>0</v>
      </c>
      <c r="M92" s="116">
        <v>2</v>
      </c>
      <c r="N92" s="116">
        <v>2</v>
      </c>
      <c r="O92" s="116" t="s">
        <v>196</v>
      </c>
      <c r="P92" s="116" t="s">
        <v>197</v>
      </c>
    </row>
    <row r="93" spans="1:16" ht="15" customHeight="1">
      <c r="A93" s="109" t="s">
        <v>120</v>
      </c>
      <c r="B93" s="109">
        <v>293</v>
      </c>
      <c r="C93" s="110">
        <v>279</v>
      </c>
      <c r="D93" s="109">
        <v>-14</v>
      </c>
      <c r="E93" s="111">
        <v>0.04</v>
      </c>
      <c r="F93" s="112">
        <v>43361.257094907407</v>
      </c>
      <c r="G93" s="112"/>
      <c r="H93" s="83"/>
      <c r="J93" s="115" t="str">
        <f>IFERROR(VLOOKUP(K93,$A:$A,1,0),"NO REPORTA EN VERSION ACTUALIZADA")</f>
        <v>TX1045483-00-J_01</v>
      </c>
      <c r="K93" s="24" t="s">
        <v>95</v>
      </c>
      <c r="L93" s="24">
        <v>12</v>
      </c>
      <c r="M93" s="24">
        <v>2</v>
      </c>
      <c r="N93" s="24">
        <v>-10</v>
      </c>
      <c r="O93" s="24" t="s">
        <v>239</v>
      </c>
      <c r="P93" s="24" t="s">
        <v>197</v>
      </c>
    </row>
    <row r="94" spans="1:16" ht="15" customHeight="1">
      <c r="A94" s="109" t="s">
        <v>185</v>
      </c>
      <c r="B94" s="109">
        <v>0</v>
      </c>
      <c r="C94" s="110">
        <v>1</v>
      </c>
      <c r="D94" s="109">
        <v>1</v>
      </c>
      <c r="E94" s="111">
        <v>1</v>
      </c>
      <c r="F94" s="112">
        <v>43361.257094907407</v>
      </c>
      <c r="G94" s="112"/>
      <c r="H94" s="83"/>
      <c r="J94" s="115" t="str">
        <f>IFERROR(VLOOKUP(K94,$A:$A,1,0),"NO REPORTA EN VERSION ACTUALIZADA")</f>
        <v>TX1045483-00-JB-1</v>
      </c>
      <c r="K94" s="24" t="s">
        <v>96</v>
      </c>
      <c r="L94" s="24">
        <v>0</v>
      </c>
      <c r="M94" s="24">
        <v>147</v>
      </c>
      <c r="N94" s="24">
        <v>147</v>
      </c>
      <c r="O94" s="24" t="s">
        <v>196</v>
      </c>
      <c r="P94" s="24" t="s">
        <v>197</v>
      </c>
    </row>
    <row r="95" spans="1:16" ht="15" customHeight="1">
      <c r="A95" s="109" t="s">
        <v>121</v>
      </c>
      <c r="B95" s="109">
        <v>361</v>
      </c>
      <c r="C95" s="110">
        <v>329</v>
      </c>
      <c r="D95" s="109">
        <v>-32</v>
      </c>
      <c r="E95" s="111">
        <v>0.08</v>
      </c>
      <c r="F95" s="112">
        <v>43361.257094907407</v>
      </c>
      <c r="G95" s="112"/>
      <c r="H95" s="83"/>
      <c r="J95" s="115" t="str">
        <f>IFERROR(VLOOKUP(K95,$A:$A,1,0),"NO REPORTA EN VERSION ACTUALIZADA")</f>
        <v>TX1045483-00-JT-1</v>
      </c>
      <c r="K95" s="24" t="s">
        <v>97</v>
      </c>
      <c r="L95" s="24">
        <v>32</v>
      </c>
      <c r="M95" s="24">
        <v>1615</v>
      </c>
      <c r="N95" s="24">
        <v>1583</v>
      </c>
      <c r="O95" s="24" t="s">
        <v>240</v>
      </c>
      <c r="P95" s="24" t="s">
        <v>197</v>
      </c>
    </row>
    <row r="96" spans="1:16" ht="15" customHeight="1">
      <c r="A96" s="109" t="s">
        <v>123</v>
      </c>
      <c r="B96" s="109">
        <v>31</v>
      </c>
      <c r="C96" s="110">
        <v>45</v>
      </c>
      <c r="D96" s="109">
        <v>14</v>
      </c>
      <c r="E96" s="111">
        <v>0.31</v>
      </c>
      <c r="F96" s="112">
        <v>43361.257094907407</v>
      </c>
      <c r="G96" s="112"/>
      <c r="H96" s="83"/>
      <c r="J96" s="115" t="str">
        <f>IFERROR(VLOOKUP(K96,$A:$A,1,0),"NO REPORTA EN VERSION ACTUALIZADA")</f>
        <v>TX1045483-00-JTH-1</v>
      </c>
      <c r="K96" s="24" t="s">
        <v>98</v>
      </c>
      <c r="L96" s="24">
        <v>40</v>
      </c>
      <c r="M96" s="24">
        <v>297</v>
      </c>
      <c r="N96" s="24">
        <v>257</v>
      </c>
      <c r="O96" s="24" t="s">
        <v>241</v>
      </c>
      <c r="P96" s="24" t="s">
        <v>197</v>
      </c>
    </row>
    <row r="97" spans="1:16" ht="15" customHeight="1">
      <c r="A97" s="109" t="s">
        <v>124</v>
      </c>
      <c r="B97" s="109">
        <v>1</v>
      </c>
      <c r="C97" s="110">
        <v>2</v>
      </c>
      <c r="D97" s="109">
        <v>1</v>
      </c>
      <c r="E97" s="111">
        <v>0.5</v>
      </c>
      <c r="F97" s="112">
        <v>43361.257094907407</v>
      </c>
      <c r="G97" s="112"/>
      <c r="H97" s="83"/>
      <c r="J97" s="115" t="str">
        <f>IFERROR(VLOOKUP(K97,$A:$A,1,0),"NO REPORTA EN VERSION ACTUALIZADA")</f>
        <v>TX1045490-00-G_01</v>
      </c>
      <c r="K97" s="24" t="s">
        <v>99</v>
      </c>
      <c r="L97" s="24">
        <v>31</v>
      </c>
      <c r="M97" s="24">
        <v>0</v>
      </c>
      <c r="N97" s="24">
        <v>-31</v>
      </c>
      <c r="O97" s="24" t="s">
        <v>196</v>
      </c>
      <c r="P97" s="24" t="s">
        <v>197</v>
      </c>
    </row>
    <row r="98" spans="1:16" ht="15" customHeight="1">
      <c r="A98" s="109" t="s">
        <v>125</v>
      </c>
      <c r="B98" s="109">
        <v>71</v>
      </c>
      <c r="C98" s="110">
        <v>5261</v>
      </c>
      <c r="D98" s="109">
        <v>5190</v>
      </c>
      <c r="E98" s="111">
        <v>0.98</v>
      </c>
      <c r="F98" s="112">
        <v>43361.257094907407</v>
      </c>
      <c r="G98" s="112"/>
      <c r="H98" s="83"/>
      <c r="J98" s="115" t="str">
        <f>IFERROR(VLOOKUP(K98,$A:$A,1,0),"NO REPORTA EN VERSION ACTUALIZADA")</f>
        <v>NO REPORTA EN VERSION ACTUALIZADA</v>
      </c>
      <c r="K98" s="116" t="s">
        <v>242</v>
      </c>
      <c r="L98" s="116">
        <v>8</v>
      </c>
      <c r="M98" s="116">
        <v>0</v>
      </c>
      <c r="N98" s="116">
        <v>-8</v>
      </c>
      <c r="O98" s="116" t="s">
        <v>196</v>
      </c>
      <c r="P98" s="116" t="s">
        <v>197</v>
      </c>
    </row>
    <row r="99" spans="1:16" ht="15" customHeight="1">
      <c r="A99" s="109" t="s">
        <v>126</v>
      </c>
      <c r="B99" s="109">
        <v>498</v>
      </c>
      <c r="C99" s="110">
        <v>486</v>
      </c>
      <c r="D99" s="109">
        <v>-12</v>
      </c>
      <c r="E99" s="111">
        <v>0.02</v>
      </c>
      <c r="F99" s="112">
        <v>43361.257094907407</v>
      </c>
      <c r="G99" s="112"/>
      <c r="H99" s="83"/>
      <c r="J99" s="115" t="str">
        <f>IFERROR(VLOOKUP(K99,$A:$A,1,0),"NO REPORTA EN VERSION ACTUALIZADA")</f>
        <v>NO REPORTA EN VERSION ACTUALIZADA</v>
      </c>
      <c r="K99" s="116" t="s">
        <v>100</v>
      </c>
      <c r="L99" s="116">
        <v>17</v>
      </c>
      <c r="M99" s="116">
        <v>0</v>
      </c>
      <c r="N99" s="116">
        <v>-17</v>
      </c>
      <c r="O99" s="116" t="s">
        <v>196</v>
      </c>
      <c r="P99" s="116" t="s">
        <v>197</v>
      </c>
    </row>
    <row r="100" spans="1:16" ht="15" customHeight="1">
      <c r="A100" s="109" t="s">
        <v>243</v>
      </c>
      <c r="B100" s="109">
        <v>8</v>
      </c>
      <c r="C100" s="110">
        <v>2550</v>
      </c>
      <c r="D100" s="109">
        <v>2542</v>
      </c>
      <c r="E100" s="111">
        <v>0.99</v>
      </c>
      <c r="F100" s="112">
        <v>43361.257094907407</v>
      </c>
      <c r="G100" s="112"/>
      <c r="H100" s="83"/>
      <c r="J100" s="115" t="str">
        <f>IFERROR(VLOOKUP(K100,$A:$A,1,0),"NO REPORTA EN VERSION ACTUALIZADA")</f>
        <v>TX1047030-01-DB-3</v>
      </c>
      <c r="K100" s="24" t="s">
        <v>101</v>
      </c>
      <c r="L100" s="24">
        <v>97</v>
      </c>
      <c r="M100" s="24">
        <v>225</v>
      </c>
      <c r="N100" s="24">
        <v>128</v>
      </c>
      <c r="O100" s="24" t="s">
        <v>226</v>
      </c>
      <c r="P100" s="24" t="s">
        <v>197</v>
      </c>
    </row>
    <row r="101" spans="1:16" ht="15" customHeight="1">
      <c r="A101" s="109" t="s">
        <v>128</v>
      </c>
      <c r="B101" s="109">
        <v>29</v>
      </c>
      <c r="C101" s="110">
        <v>784</v>
      </c>
      <c r="D101" s="109">
        <v>755</v>
      </c>
      <c r="E101" s="111">
        <v>0.96</v>
      </c>
      <c r="F101" s="112">
        <v>43361.257094907407</v>
      </c>
      <c r="G101" s="112"/>
      <c r="H101" s="83"/>
      <c r="J101" s="115" t="str">
        <f>IFERROR(VLOOKUP(K101,$A:$A,1,0),"NO REPORTA EN VERSION ACTUALIZADA")</f>
        <v>TX1047030-01-DT-3</v>
      </c>
      <c r="K101" s="24" t="s">
        <v>102</v>
      </c>
      <c r="L101" s="24">
        <v>775</v>
      </c>
      <c r="M101" s="24">
        <v>1536</v>
      </c>
      <c r="N101" s="24">
        <v>761</v>
      </c>
      <c r="O101" s="24" t="s">
        <v>244</v>
      </c>
      <c r="P101" s="24" t="s">
        <v>197</v>
      </c>
    </row>
    <row r="102" spans="1:16" ht="15" customHeight="1">
      <c r="A102" s="109" t="s">
        <v>129</v>
      </c>
      <c r="B102" s="109">
        <v>0</v>
      </c>
      <c r="C102" s="110">
        <v>6</v>
      </c>
      <c r="D102" s="109">
        <v>6</v>
      </c>
      <c r="E102" s="111">
        <v>1</v>
      </c>
      <c r="F102" s="112">
        <v>43361.257094907407</v>
      </c>
      <c r="G102" s="112"/>
      <c r="H102" s="83"/>
      <c r="J102" s="115" t="str">
        <f>IFERROR(VLOOKUP(K102,$A:$A,1,0),"NO REPORTA EN VERSION ACTUALIZADA")</f>
        <v>TX1047030-01-DTH-3</v>
      </c>
      <c r="K102" s="24" t="s">
        <v>103</v>
      </c>
      <c r="L102" s="24">
        <v>571</v>
      </c>
      <c r="M102" s="24">
        <v>901</v>
      </c>
      <c r="N102" s="24">
        <v>330</v>
      </c>
      <c r="O102" s="24" t="s">
        <v>218</v>
      </c>
      <c r="P102" s="24" t="s">
        <v>197</v>
      </c>
    </row>
    <row r="103" spans="1:16" ht="15" customHeight="1">
      <c r="A103" s="109" t="s">
        <v>130</v>
      </c>
      <c r="B103" s="109">
        <v>75</v>
      </c>
      <c r="C103" s="110">
        <v>46</v>
      </c>
      <c r="D103" s="109">
        <v>-29</v>
      </c>
      <c r="E103" s="111">
        <v>0.38</v>
      </c>
      <c r="F103" s="112">
        <v>43361.257094907407</v>
      </c>
      <c r="G103" s="112"/>
      <c r="H103" s="83"/>
      <c r="J103" s="115" t="str">
        <f>IFERROR(VLOOKUP(K103,$A:$A,1,0),"NO REPORTA EN VERSION ACTUALIZADA")</f>
        <v>NO REPORTA EN VERSION ACTUALIZADA</v>
      </c>
      <c r="K103" s="116" t="s">
        <v>104</v>
      </c>
      <c r="L103" s="116">
        <v>0</v>
      </c>
      <c r="M103" s="116">
        <v>30</v>
      </c>
      <c r="N103" s="116">
        <v>30</v>
      </c>
      <c r="O103" s="116" t="s">
        <v>196</v>
      </c>
      <c r="P103" s="116" t="s">
        <v>197</v>
      </c>
    </row>
    <row r="104" spans="1:16" ht="15" customHeight="1">
      <c r="A104" s="109" t="s">
        <v>131</v>
      </c>
      <c r="B104" s="109">
        <v>4</v>
      </c>
      <c r="C104" s="110">
        <v>7228</v>
      </c>
      <c r="D104" s="109">
        <v>7224</v>
      </c>
      <c r="E104" s="111">
        <v>0.99</v>
      </c>
      <c r="F104" s="112">
        <v>43361.257094907407</v>
      </c>
      <c r="G104" s="112"/>
      <c r="H104" s="83"/>
      <c r="J104" s="115" t="str">
        <f>IFERROR(VLOOKUP(K104,$A:$A,1,0),"NO REPORTA EN VERSION ACTUALIZADA")</f>
        <v>NO REPORTA EN VERSION ACTUALIZADA</v>
      </c>
      <c r="K104" s="116" t="s">
        <v>105</v>
      </c>
      <c r="L104" s="116">
        <v>0</v>
      </c>
      <c r="M104" s="116">
        <v>2</v>
      </c>
      <c r="N104" s="116">
        <v>2</v>
      </c>
      <c r="O104" s="116" t="s">
        <v>196</v>
      </c>
      <c r="P104" s="116" t="s">
        <v>197</v>
      </c>
    </row>
    <row r="105" spans="1:16" ht="15" customHeight="1">
      <c r="A105" s="109" t="s">
        <v>132</v>
      </c>
      <c r="B105" s="109">
        <v>64</v>
      </c>
      <c r="C105" s="110">
        <v>74</v>
      </c>
      <c r="D105" s="109">
        <v>10</v>
      </c>
      <c r="E105" s="111">
        <v>0.13</v>
      </c>
      <c r="F105" s="112">
        <v>43361.257094907407</v>
      </c>
      <c r="G105" s="112"/>
      <c r="H105" s="83"/>
      <c r="J105" s="115" t="str">
        <f>IFERROR(VLOOKUP(K105,$A:$A,1,0),"NO REPORTA EN VERSION ACTUALIZADA")</f>
        <v>NO REPORTA EN VERSION ACTUALIZADA</v>
      </c>
      <c r="K105" s="116" t="s">
        <v>106</v>
      </c>
      <c r="L105" s="116">
        <v>0</v>
      </c>
      <c r="M105" s="116">
        <v>28</v>
      </c>
      <c r="N105" s="116">
        <v>28</v>
      </c>
      <c r="O105" s="116" t="s">
        <v>196</v>
      </c>
      <c r="P105" s="116" t="s">
        <v>197</v>
      </c>
    </row>
    <row r="106" spans="1:16" ht="15" customHeight="1">
      <c r="A106" s="109" t="s">
        <v>133</v>
      </c>
      <c r="B106" s="109">
        <v>4</v>
      </c>
      <c r="C106" s="110">
        <v>10</v>
      </c>
      <c r="D106" s="109">
        <v>6</v>
      </c>
      <c r="E106" s="111">
        <v>0.6</v>
      </c>
      <c r="F106" s="112">
        <v>43361.257094907407</v>
      </c>
      <c r="G106" s="112"/>
      <c r="H106" s="83"/>
      <c r="J106" s="115" t="str">
        <f>IFERROR(VLOOKUP(K106,$A:$A,1,0),"NO REPORTA EN VERSION ACTUALIZADA")</f>
        <v>TX1048708-02-F_01</v>
      </c>
      <c r="K106" s="24" t="s">
        <v>107</v>
      </c>
      <c r="L106" s="24">
        <v>140</v>
      </c>
      <c r="M106" s="24">
        <v>0</v>
      </c>
      <c r="N106" s="24">
        <v>-140</v>
      </c>
      <c r="O106" s="24" t="s">
        <v>196</v>
      </c>
      <c r="P106" s="24" t="s">
        <v>197</v>
      </c>
    </row>
    <row r="107" spans="1:16" ht="15" customHeight="1">
      <c r="A107" s="109" t="s">
        <v>134</v>
      </c>
      <c r="B107" s="109">
        <v>3</v>
      </c>
      <c r="C107" s="110">
        <v>7</v>
      </c>
      <c r="D107" s="109">
        <v>4</v>
      </c>
      <c r="E107" s="111">
        <v>0.56999999999999995</v>
      </c>
      <c r="F107" s="112">
        <v>43361.257094907407</v>
      </c>
      <c r="G107" s="112"/>
      <c r="H107" s="83"/>
      <c r="J107" s="115" t="str">
        <f>IFERROR(VLOOKUP(K107,$A:$A,1,0),"NO REPORTA EN VERSION ACTUALIZADA")</f>
        <v>TX1048708-02-FB-1</v>
      </c>
      <c r="K107" s="24" t="s">
        <v>108</v>
      </c>
      <c r="L107" s="24">
        <v>3</v>
      </c>
      <c r="M107" s="24">
        <v>0</v>
      </c>
      <c r="N107" s="24">
        <v>-3</v>
      </c>
      <c r="O107" s="24" t="s">
        <v>196</v>
      </c>
      <c r="P107" s="24" t="s">
        <v>197</v>
      </c>
    </row>
    <row r="108" spans="1:16" ht="15" customHeight="1">
      <c r="A108" s="109" t="s">
        <v>245</v>
      </c>
      <c r="B108" s="109">
        <v>240</v>
      </c>
      <c r="C108" s="110">
        <v>1411</v>
      </c>
      <c r="D108" s="109">
        <v>1171</v>
      </c>
      <c r="E108" s="111">
        <v>0.82</v>
      </c>
      <c r="F108" s="112">
        <v>43361.257094907407</v>
      </c>
      <c r="G108" s="112"/>
      <c r="H108" s="83"/>
      <c r="J108" s="115" t="str">
        <f>IFERROR(VLOOKUP(K108,$A:$A,1,0),"NO REPORTA EN VERSION ACTUALIZADA")</f>
        <v>TX1048708-02-FT-1</v>
      </c>
      <c r="K108" s="24" t="s">
        <v>109</v>
      </c>
      <c r="L108" s="24">
        <v>28</v>
      </c>
      <c r="M108" s="24">
        <v>0</v>
      </c>
      <c r="N108" s="24">
        <v>-28</v>
      </c>
      <c r="O108" s="24" t="s">
        <v>196</v>
      </c>
      <c r="P108" s="24" t="s">
        <v>197</v>
      </c>
    </row>
    <row r="109" spans="1:16" ht="15" customHeight="1">
      <c r="A109" s="109" t="s">
        <v>246</v>
      </c>
      <c r="B109" s="109">
        <v>32</v>
      </c>
      <c r="C109" s="110">
        <v>202</v>
      </c>
      <c r="D109" s="109">
        <v>170</v>
      </c>
      <c r="E109" s="111">
        <v>0.84</v>
      </c>
      <c r="F109" s="112">
        <v>43361.257094907407</v>
      </c>
      <c r="G109" s="112"/>
      <c r="H109" s="83"/>
      <c r="J109" s="115" t="str">
        <f>IFERROR(VLOOKUP(K109,$A:$A,1,0),"NO REPORTA EN VERSION ACTUALIZADA")</f>
        <v>TX1048708-02-FTH-1</v>
      </c>
      <c r="K109" s="24" t="s">
        <v>110</v>
      </c>
      <c r="L109" s="24">
        <v>75</v>
      </c>
      <c r="M109" s="24">
        <v>0</v>
      </c>
      <c r="N109" s="24">
        <v>-75</v>
      </c>
      <c r="O109" s="24" t="s">
        <v>196</v>
      </c>
      <c r="P109" s="24" t="s">
        <v>197</v>
      </c>
    </row>
    <row r="110" spans="1:16" ht="15" customHeight="1">
      <c r="A110" s="109" t="s">
        <v>135</v>
      </c>
      <c r="B110" s="109">
        <v>22</v>
      </c>
      <c r="C110" s="110">
        <v>569</v>
      </c>
      <c r="D110" s="109">
        <v>547</v>
      </c>
      <c r="E110" s="111">
        <v>0.96</v>
      </c>
      <c r="F110" s="112">
        <v>43361.257094907407</v>
      </c>
      <c r="G110" s="112"/>
      <c r="H110" s="83"/>
      <c r="J110" s="115" t="str">
        <f>IFERROR(VLOOKUP(K110,$A:$A,1,0),"NO REPORTA EN VERSION ACTUALIZADA")</f>
        <v>TX1049219-01-C_02</v>
      </c>
      <c r="K110" s="24" t="s">
        <v>111</v>
      </c>
      <c r="L110" s="24">
        <v>18</v>
      </c>
      <c r="M110" s="24">
        <v>0</v>
      </c>
      <c r="N110" s="24">
        <v>-18</v>
      </c>
      <c r="O110" s="24" t="s">
        <v>196</v>
      </c>
      <c r="P110" s="24" t="s">
        <v>197</v>
      </c>
    </row>
    <row r="111" spans="1:16" ht="15" customHeight="1">
      <c r="A111" s="109" t="s">
        <v>136</v>
      </c>
      <c r="B111" s="109">
        <v>0</v>
      </c>
      <c r="C111" s="110">
        <v>11</v>
      </c>
      <c r="D111" s="109">
        <v>11</v>
      </c>
      <c r="E111" s="111">
        <v>1</v>
      </c>
      <c r="F111" s="112">
        <v>43361.257094907407</v>
      </c>
      <c r="G111" s="112"/>
      <c r="H111" s="83"/>
      <c r="J111" s="115" t="str">
        <f>IFERROR(VLOOKUP(K111,$A:$A,1,0),"NO REPORTA EN VERSION ACTUALIZADA")</f>
        <v>TX1049219-01-CB-2</v>
      </c>
      <c r="K111" s="24" t="s">
        <v>112</v>
      </c>
      <c r="L111" s="24">
        <v>372</v>
      </c>
      <c r="M111" s="24">
        <v>35</v>
      </c>
      <c r="N111" s="24">
        <v>-337</v>
      </c>
      <c r="O111" s="24" t="s">
        <v>232</v>
      </c>
      <c r="P111" s="24" t="s">
        <v>197</v>
      </c>
    </row>
    <row r="112" spans="1:16" ht="15" customHeight="1">
      <c r="A112" s="109" t="s">
        <v>137</v>
      </c>
      <c r="B112" s="109">
        <v>0</v>
      </c>
      <c r="C112" s="110">
        <v>5</v>
      </c>
      <c r="D112" s="109">
        <v>5</v>
      </c>
      <c r="E112" s="111">
        <v>1</v>
      </c>
      <c r="F112" s="112">
        <v>43361.257094907407</v>
      </c>
      <c r="G112" s="112"/>
      <c r="H112" s="83"/>
      <c r="J112" s="115" t="str">
        <f>IFERROR(VLOOKUP(K112,$A:$A,1,0),"NO REPORTA EN VERSION ACTUALIZADA")</f>
        <v>TX1049219-01-CT-2</v>
      </c>
      <c r="K112" s="24" t="s">
        <v>113</v>
      </c>
      <c r="L112" s="24">
        <v>0</v>
      </c>
      <c r="M112" s="24">
        <v>7</v>
      </c>
      <c r="N112" s="24">
        <v>7</v>
      </c>
      <c r="O112" s="24" t="s">
        <v>196</v>
      </c>
      <c r="P112" s="24" t="s">
        <v>197</v>
      </c>
    </row>
    <row r="113" spans="1:16" ht="15" customHeight="1">
      <c r="A113" s="109" t="s">
        <v>138</v>
      </c>
      <c r="B113" s="109">
        <v>40</v>
      </c>
      <c r="C113" s="110">
        <v>23</v>
      </c>
      <c r="D113" s="109">
        <v>-17</v>
      </c>
      <c r="E113" s="111">
        <v>0.42</v>
      </c>
      <c r="F113" s="112">
        <v>43361.257094907407</v>
      </c>
      <c r="G113" s="112"/>
      <c r="H113" s="83"/>
      <c r="J113" s="115" t="str">
        <f>IFERROR(VLOOKUP(K113,$A:$A,1,0),"NO REPORTA EN VERSION ACTUALIZADA")</f>
        <v>NO REPORTA EN VERSION ACTUALIZADA</v>
      </c>
      <c r="K113" s="116" t="s">
        <v>114</v>
      </c>
      <c r="L113" s="116">
        <v>0</v>
      </c>
      <c r="M113" s="116">
        <v>813</v>
      </c>
      <c r="N113" s="116">
        <v>813</v>
      </c>
      <c r="O113" s="116" t="s">
        <v>196</v>
      </c>
      <c r="P113" s="116" t="s">
        <v>197</v>
      </c>
    </row>
    <row r="114" spans="1:16" ht="15" customHeight="1">
      <c r="A114" s="109" t="s">
        <v>139</v>
      </c>
      <c r="B114" s="109">
        <v>6</v>
      </c>
      <c r="C114" s="110">
        <v>668</v>
      </c>
      <c r="D114" s="109">
        <v>662</v>
      </c>
      <c r="E114" s="111">
        <v>0.99</v>
      </c>
      <c r="F114" s="112">
        <v>43361.257094907407</v>
      </c>
      <c r="G114" s="112"/>
      <c r="H114" s="83"/>
      <c r="J114" s="115" t="str">
        <f>IFERROR(VLOOKUP(K114,$A:$A,1,0),"NO REPORTA EN VERSION ACTUALIZADA")</f>
        <v>NO REPORTA EN VERSION ACTUALIZADA</v>
      </c>
      <c r="K114" s="116" t="s">
        <v>115</v>
      </c>
      <c r="L114" s="116">
        <v>45</v>
      </c>
      <c r="M114" s="116">
        <v>0</v>
      </c>
      <c r="N114" s="116">
        <v>-45</v>
      </c>
      <c r="O114" s="116" t="s">
        <v>196</v>
      </c>
      <c r="P114" s="116" t="s">
        <v>197</v>
      </c>
    </row>
    <row r="115" spans="1:16" ht="15" customHeight="1">
      <c r="A115" s="109" t="s">
        <v>140</v>
      </c>
      <c r="B115" s="109">
        <v>7</v>
      </c>
      <c r="C115" s="110">
        <v>15</v>
      </c>
      <c r="D115" s="109">
        <v>8</v>
      </c>
      <c r="E115" s="111">
        <v>0.53</v>
      </c>
      <c r="F115" s="112">
        <v>43361.257094907407</v>
      </c>
      <c r="G115" s="112"/>
      <c r="H115" s="83"/>
      <c r="J115" s="115" t="str">
        <f>IFERROR(VLOOKUP(K115,$A:$A,1,0),"NO REPORTA EN VERSION ACTUALIZADA")</f>
        <v>NO REPORTA EN VERSION ACTUALIZADA</v>
      </c>
      <c r="K115" s="116" t="s">
        <v>116</v>
      </c>
      <c r="L115" s="116">
        <v>0</v>
      </c>
      <c r="M115" s="116">
        <v>41</v>
      </c>
      <c r="N115" s="116">
        <v>41</v>
      </c>
      <c r="O115" s="116" t="s">
        <v>196</v>
      </c>
      <c r="P115" s="116" t="s">
        <v>197</v>
      </c>
    </row>
    <row r="116" spans="1:16" ht="15" customHeight="1">
      <c r="A116" s="109" t="s">
        <v>141</v>
      </c>
      <c r="B116" s="109">
        <v>20</v>
      </c>
      <c r="C116" s="110">
        <v>27</v>
      </c>
      <c r="D116" s="109">
        <v>7</v>
      </c>
      <c r="E116" s="111">
        <v>0.25</v>
      </c>
      <c r="F116" s="112">
        <v>43361.257094907407</v>
      </c>
      <c r="G116" s="112"/>
      <c r="H116" s="83"/>
      <c r="J116" s="115" t="str">
        <f>IFERROR(VLOOKUP(K116,$A:$A,1,0),"NO REPORTA EN VERSION ACTUALIZADA")</f>
        <v>TX1049371-01-D_01</v>
      </c>
      <c r="K116" s="24" t="s">
        <v>117</v>
      </c>
      <c r="L116" s="24">
        <v>158</v>
      </c>
      <c r="M116" s="24">
        <v>0</v>
      </c>
      <c r="N116" s="24">
        <v>-158</v>
      </c>
      <c r="O116" s="24" t="s">
        <v>196</v>
      </c>
      <c r="P116" s="24" t="s">
        <v>197</v>
      </c>
    </row>
    <row r="117" spans="1:16" ht="15" customHeight="1">
      <c r="A117" s="109" t="s">
        <v>247</v>
      </c>
      <c r="B117" s="109">
        <v>25</v>
      </c>
      <c r="C117" s="110">
        <v>1751</v>
      </c>
      <c r="D117" s="109">
        <v>1726</v>
      </c>
      <c r="E117" s="111">
        <v>0.98</v>
      </c>
      <c r="F117" s="112">
        <v>43361.257094907407</v>
      </c>
      <c r="G117" s="112"/>
      <c r="H117" s="83"/>
      <c r="J117" s="115" t="str">
        <f>IFERROR(VLOOKUP(K117,$A:$A,1,0),"NO REPORTA EN VERSION ACTUALIZADA")</f>
        <v>TX1049371-01-DT-1</v>
      </c>
      <c r="K117" s="24" t="s">
        <v>118</v>
      </c>
      <c r="L117" s="24">
        <v>185</v>
      </c>
      <c r="M117" s="24">
        <v>355</v>
      </c>
      <c r="N117" s="24">
        <v>170</v>
      </c>
      <c r="O117" s="24" t="s">
        <v>236</v>
      </c>
      <c r="P117" s="24" t="s">
        <v>197</v>
      </c>
    </row>
    <row r="118" spans="1:16" ht="15" customHeight="1">
      <c r="A118" s="109" t="s">
        <v>248</v>
      </c>
      <c r="B118" s="109">
        <v>231</v>
      </c>
      <c r="C118" s="110">
        <v>896</v>
      </c>
      <c r="D118" s="109">
        <v>665</v>
      </c>
      <c r="E118" s="111">
        <v>0.74</v>
      </c>
      <c r="F118" s="112">
        <v>43361.257094907407</v>
      </c>
      <c r="G118" s="112"/>
      <c r="H118" s="83"/>
      <c r="J118" s="115" t="str">
        <f>IFERROR(VLOOKUP(K118,$A:$A,1,0),"NO REPORTA EN VERSION ACTUALIZADA")</f>
        <v>TX1049371-01-DTH-1</v>
      </c>
      <c r="K118" s="24" t="s">
        <v>119</v>
      </c>
      <c r="L118" s="24">
        <v>342</v>
      </c>
      <c r="M118" s="24">
        <v>872</v>
      </c>
      <c r="N118" s="24">
        <v>530</v>
      </c>
      <c r="O118" s="24" t="s">
        <v>249</v>
      </c>
      <c r="P118" s="24" t="s">
        <v>197</v>
      </c>
    </row>
    <row r="119" spans="1:16" ht="15" customHeight="1">
      <c r="A119" s="109" t="s">
        <v>143</v>
      </c>
      <c r="B119" s="109">
        <v>146</v>
      </c>
      <c r="C119" s="110">
        <v>192</v>
      </c>
      <c r="D119" s="109">
        <v>46</v>
      </c>
      <c r="E119" s="111">
        <v>0.23</v>
      </c>
      <c r="F119" s="112">
        <v>43361.257094907407</v>
      </c>
      <c r="G119" s="112"/>
      <c r="H119" s="83"/>
      <c r="J119" s="115" t="str">
        <f>IFERROR(VLOOKUP(K119,$A:$A,1,0),"NO REPORTA EN VERSION ACTUALIZADA")</f>
        <v>TX1049371-05-D_01</v>
      </c>
      <c r="K119" s="24" t="s">
        <v>120</v>
      </c>
      <c r="L119" s="24">
        <v>293</v>
      </c>
      <c r="M119" s="24">
        <v>0</v>
      </c>
      <c r="N119" s="24">
        <v>-293</v>
      </c>
      <c r="O119" s="24" t="s">
        <v>196</v>
      </c>
      <c r="P119" s="24" t="s">
        <v>197</v>
      </c>
    </row>
    <row r="120" spans="1:16" ht="15" customHeight="1">
      <c r="A120" s="109" t="s">
        <v>144</v>
      </c>
      <c r="B120" s="109">
        <v>94</v>
      </c>
      <c r="C120" s="110">
        <v>80</v>
      </c>
      <c r="D120" s="109">
        <v>-14</v>
      </c>
      <c r="E120" s="111">
        <v>0.14000000000000001</v>
      </c>
      <c r="F120" s="112">
        <v>43361.257094907407</v>
      </c>
      <c r="G120" s="112"/>
      <c r="H120" s="83"/>
      <c r="J120" s="115" t="str">
        <f>IFERROR(VLOOKUP(K120,$A:$A,1,0),"NO REPORTA EN VERSION ACTUALIZADA")</f>
        <v>TX1049371-05-DTH-1</v>
      </c>
      <c r="K120" s="24" t="s">
        <v>121</v>
      </c>
      <c r="L120" s="24">
        <v>361</v>
      </c>
      <c r="M120" s="24">
        <v>1252</v>
      </c>
      <c r="N120" s="24">
        <v>891</v>
      </c>
      <c r="O120" s="24" t="s">
        <v>250</v>
      </c>
      <c r="P120" s="24" t="s">
        <v>197</v>
      </c>
    </row>
    <row r="121" spans="1:16" ht="15" customHeight="1">
      <c r="A121" s="109" t="s">
        <v>145</v>
      </c>
      <c r="B121" s="109">
        <v>458</v>
      </c>
      <c r="C121" s="110">
        <v>263</v>
      </c>
      <c r="D121" s="109">
        <v>-195</v>
      </c>
      <c r="E121" s="111">
        <v>0.42</v>
      </c>
      <c r="F121" s="112">
        <v>43361.257094907407</v>
      </c>
      <c r="G121" s="112"/>
      <c r="H121" s="83"/>
      <c r="J121" s="115" t="str">
        <f>IFERROR(VLOOKUP(K121,$A:$A,1,0),"NO REPORTA EN VERSION ACTUALIZADA")</f>
        <v>NO REPORTA EN VERSION ACTUALIZADA</v>
      </c>
      <c r="K121" s="116" t="s">
        <v>122</v>
      </c>
      <c r="L121" s="116">
        <v>10</v>
      </c>
      <c r="M121" s="116">
        <v>0</v>
      </c>
      <c r="N121" s="116">
        <v>-10</v>
      </c>
      <c r="O121" s="116" t="s">
        <v>196</v>
      </c>
      <c r="P121" s="116" t="s">
        <v>197</v>
      </c>
    </row>
    <row r="122" spans="1:16" ht="15" customHeight="1">
      <c r="A122" s="109" t="s">
        <v>251</v>
      </c>
      <c r="B122" s="109">
        <v>0</v>
      </c>
      <c r="C122" s="110">
        <v>436</v>
      </c>
      <c r="D122" s="109">
        <v>436</v>
      </c>
      <c r="E122" s="111">
        <v>1</v>
      </c>
      <c r="F122" s="112">
        <v>43361.257094907407</v>
      </c>
      <c r="G122" s="112"/>
      <c r="H122" s="83"/>
      <c r="J122" s="115" t="str">
        <f>IFERROR(VLOOKUP(K122,$A:$A,1,0),"NO REPORTA EN VERSION ACTUALIZADA")</f>
        <v>TX1049371-08-D_01</v>
      </c>
      <c r="K122" s="24" t="s">
        <v>123</v>
      </c>
      <c r="L122" s="24">
        <v>31</v>
      </c>
      <c r="M122" s="24">
        <v>0</v>
      </c>
      <c r="N122" s="24">
        <v>-31</v>
      </c>
      <c r="O122" s="24" t="s">
        <v>196</v>
      </c>
      <c r="P122" s="24" t="s">
        <v>197</v>
      </c>
    </row>
    <row r="123" spans="1:16" ht="15" customHeight="1">
      <c r="A123" s="109" t="s">
        <v>252</v>
      </c>
      <c r="B123" s="109">
        <v>94</v>
      </c>
      <c r="C123" s="110">
        <v>2186</v>
      </c>
      <c r="D123" s="109">
        <v>2092</v>
      </c>
      <c r="E123" s="111">
        <v>0.95</v>
      </c>
      <c r="F123" s="112">
        <v>43361.257094907407</v>
      </c>
      <c r="G123" s="112"/>
      <c r="H123" s="83"/>
      <c r="J123" s="115" t="str">
        <f>IFERROR(VLOOKUP(K123,$A:$A,1,0),"NO REPORTA EN VERSION ACTUALIZADA")</f>
        <v>TX1049371-08-DTH-1</v>
      </c>
      <c r="K123" s="24" t="s">
        <v>124</v>
      </c>
      <c r="L123" s="24">
        <v>1</v>
      </c>
      <c r="M123" s="24">
        <v>113</v>
      </c>
      <c r="N123" s="24">
        <v>112</v>
      </c>
      <c r="O123" s="24" t="s">
        <v>217</v>
      </c>
      <c r="P123" s="24" t="s">
        <v>197</v>
      </c>
    </row>
    <row r="124" spans="1:16" ht="15" customHeight="1">
      <c r="A124" s="109" t="s">
        <v>253</v>
      </c>
      <c r="B124" s="109">
        <v>11</v>
      </c>
      <c r="C124" s="110">
        <v>1</v>
      </c>
      <c r="D124" s="109">
        <v>-10</v>
      </c>
      <c r="E124" s="111">
        <v>0.9</v>
      </c>
      <c r="F124" s="112">
        <v>43361.257094907407</v>
      </c>
      <c r="G124" s="112"/>
      <c r="H124" s="83"/>
      <c r="J124" s="115" t="str">
        <f>IFERROR(VLOOKUP(K124,$A:$A,1,0),"NO REPORTA EN VERSION ACTUALIZADA")</f>
        <v>TX1049524-01-D_01</v>
      </c>
      <c r="K124" s="24" t="s">
        <v>125</v>
      </c>
      <c r="L124" s="24">
        <v>17</v>
      </c>
      <c r="M124" s="24">
        <v>0</v>
      </c>
      <c r="N124" s="24">
        <v>-17</v>
      </c>
      <c r="O124" s="24" t="s">
        <v>196</v>
      </c>
      <c r="P124" s="24" t="s">
        <v>197</v>
      </c>
    </row>
    <row r="125" spans="1:16" ht="15" customHeight="1">
      <c r="A125" s="109" t="s">
        <v>146</v>
      </c>
      <c r="B125" s="109">
        <v>0</v>
      </c>
      <c r="C125" s="110">
        <v>17</v>
      </c>
      <c r="D125" s="109">
        <v>17</v>
      </c>
      <c r="E125" s="111">
        <v>1</v>
      </c>
      <c r="F125" s="112">
        <v>43361.257094907407</v>
      </c>
      <c r="G125" s="112"/>
      <c r="H125" s="83"/>
      <c r="J125" s="115" t="str">
        <f>IFERROR(VLOOKUP(K125,$A:$A,1,0),"NO REPORTA EN VERSION ACTUALIZADA")</f>
        <v>TX1049524-01-DT-1</v>
      </c>
      <c r="K125" s="24" t="s">
        <v>126</v>
      </c>
      <c r="L125" s="24">
        <v>498</v>
      </c>
      <c r="M125" s="24">
        <v>919</v>
      </c>
      <c r="N125" s="24">
        <v>421</v>
      </c>
      <c r="O125" s="24" t="s">
        <v>220</v>
      </c>
      <c r="P125" s="24" t="s">
        <v>197</v>
      </c>
    </row>
    <row r="126" spans="1:16" ht="15" customHeight="1">
      <c r="A126" s="109" t="s">
        <v>186</v>
      </c>
      <c r="B126" s="109">
        <v>0</v>
      </c>
      <c r="C126" s="110">
        <v>25</v>
      </c>
      <c r="D126" s="109">
        <v>25</v>
      </c>
      <c r="E126" s="111">
        <v>1</v>
      </c>
      <c r="F126" s="112">
        <v>43361.257094907407</v>
      </c>
      <c r="G126" s="112"/>
      <c r="H126" s="83"/>
      <c r="J126" s="115" t="str">
        <f>IFERROR(VLOOKUP(K126,$A:$A,1,0),"NO REPORTA EN VERSION ACTUALIZADA")</f>
        <v>NO REPORTA EN VERSION ACTUALIZADA</v>
      </c>
      <c r="K126" s="116" t="s">
        <v>127</v>
      </c>
      <c r="L126" s="116">
        <v>0</v>
      </c>
      <c r="M126" s="116">
        <v>116</v>
      </c>
      <c r="N126" s="116">
        <v>116</v>
      </c>
      <c r="O126" s="116" t="s">
        <v>196</v>
      </c>
      <c r="P126" s="116" t="s">
        <v>197</v>
      </c>
    </row>
    <row r="127" spans="1:16" ht="15" customHeight="1">
      <c r="A127" s="109" t="s">
        <v>187</v>
      </c>
      <c r="B127" s="109">
        <v>0</v>
      </c>
      <c r="C127" s="110">
        <v>4</v>
      </c>
      <c r="D127" s="109">
        <v>4</v>
      </c>
      <c r="E127" s="111">
        <v>1</v>
      </c>
      <c r="F127" s="112">
        <v>43361.257094907407</v>
      </c>
      <c r="G127" s="112"/>
      <c r="H127" s="83"/>
      <c r="J127" s="115" t="str">
        <f>IFERROR(VLOOKUP(K127,$A:$A,1,0),"NO REPORTA EN VERSION ACTUALIZADA")</f>
        <v>TX1049678-00-H_03</v>
      </c>
      <c r="K127" s="24" t="s">
        <v>243</v>
      </c>
      <c r="L127" s="24">
        <v>8</v>
      </c>
      <c r="M127" s="24">
        <v>0</v>
      </c>
      <c r="N127" s="24">
        <v>-8</v>
      </c>
      <c r="O127" s="24" t="s">
        <v>196</v>
      </c>
      <c r="P127" s="24" t="s">
        <v>197</v>
      </c>
    </row>
    <row r="128" spans="1:16" ht="15" customHeight="1">
      <c r="A128" s="109" t="s">
        <v>149</v>
      </c>
      <c r="B128" s="109">
        <v>136</v>
      </c>
      <c r="C128" s="110">
        <v>6341</v>
      </c>
      <c r="D128" s="109">
        <v>6205</v>
      </c>
      <c r="E128" s="111">
        <v>0.97</v>
      </c>
      <c r="F128" s="112">
        <v>43361.257094907407</v>
      </c>
      <c r="G128" s="112"/>
      <c r="H128" s="83"/>
      <c r="J128" s="115" t="str">
        <f>IFERROR(VLOOKUP(K128,$A:$A,1,0),"NO REPORTA EN VERSION ACTUALIZADA")</f>
        <v>TX1050951-00-A_01</v>
      </c>
      <c r="K128" s="24" t="s">
        <v>128</v>
      </c>
      <c r="L128" s="24">
        <v>29</v>
      </c>
      <c r="M128" s="24">
        <v>0</v>
      </c>
      <c r="N128" s="24">
        <v>-29</v>
      </c>
      <c r="O128" s="24" t="s">
        <v>196</v>
      </c>
      <c r="P128" s="24" t="s">
        <v>197</v>
      </c>
    </row>
    <row r="129" spans="1:16" ht="15" customHeight="1">
      <c r="A129" s="109" t="s">
        <v>150</v>
      </c>
      <c r="B129" s="109">
        <v>0</v>
      </c>
      <c r="C129" s="110">
        <v>1</v>
      </c>
      <c r="D129" s="109">
        <v>1</v>
      </c>
      <c r="E129" s="111">
        <v>1</v>
      </c>
      <c r="F129" s="112">
        <v>43361.257094907407</v>
      </c>
      <c r="G129" s="112"/>
      <c r="H129" s="83"/>
      <c r="J129" s="115" t="str">
        <f>IFERROR(VLOOKUP(K129,$A:$A,1,0),"NO REPORTA EN VERSION ACTUALIZADA")</f>
        <v>TX1050951-00-AT-1</v>
      </c>
      <c r="K129" s="24" t="s">
        <v>129</v>
      </c>
      <c r="L129" s="24">
        <v>0</v>
      </c>
      <c r="M129" s="24">
        <v>17</v>
      </c>
      <c r="N129" s="24">
        <v>17</v>
      </c>
      <c r="O129" s="24" t="s">
        <v>196</v>
      </c>
      <c r="P129" s="24" t="s">
        <v>197</v>
      </c>
    </row>
    <row r="130" spans="1:16" ht="15" customHeight="1">
      <c r="A130" s="109" t="s">
        <v>151</v>
      </c>
      <c r="B130" s="109">
        <v>2</v>
      </c>
      <c r="C130" s="110">
        <v>66</v>
      </c>
      <c r="D130" s="109">
        <v>64</v>
      </c>
      <c r="E130" s="111">
        <v>0.96</v>
      </c>
      <c r="F130" s="112">
        <v>43361.257094907407</v>
      </c>
      <c r="G130" s="112"/>
      <c r="H130" s="83"/>
      <c r="J130" s="115" t="str">
        <f>IFERROR(VLOOKUP(K130,$A:$A,1,0),"NO REPORTA EN VERSION ACTUALIZADA")</f>
        <v>TX1050951-00-ATH-1</v>
      </c>
      <c r="K130" s="24" t="s">
        <v>130</v>
      </c>
      <c r="L130" s="24">
        <v>75</v>
      </c>
      <c r="M130" s="24">
        <v>113</v>
      </c>
      <c r="N130" s="24">
        <v>38</v>
      </c>
      <c r="O130" s="24" t="s">
        <v>206</v>
      </c>
      <c r="P130" s="24" t="s">
        <v>197</v>
      </c>
    </row>
    <row r="131" spans="1:16" ht="15" customHeight="1">
      <c r="A131" s="109" t="s">
        <v>152</v>
      </c>
      <c r="B131" s="109">
        <v>73</v>
      </c>
      <c r="C131" s="110">
        <v>69</v>
      </c>
      <c r="D131" s="109">
        <v>-4</v>
      </c>
      <c r="E131" s="111">
        <v>0.05</v>
      </c>
      <c r="F131" s="112">
        <v>43361.257094907407</v>
      </c>
      <c r="G131" s="112"/>
      <c r="H131" s="83"/>
      <c r="J131" s="115" t="str">
        <f>IFERROR(VLOOKUP(K131,$A:$A,1,0),"NO REPORTA EN VERSION ACTUALIZADA")</f>
        <v>TX1051035-01-C_01</v>
      </c>
      <c r="K131" s="24" t="s">
        <v>131</v>
      </c>
      <c r="L131" s="24">
        <v>4</v>
      </c>
      <c r="M131" s="24">
        <v>0</v>
      </c>
      <c r="N131" s="24">
        <v>-4</v>
      </c>
      <c r="O131" s="24" t="s">
        <v>196</v>
      </c>
      <c r="P131" s="24" t="s">
        <v>197</v>
      </c>
    </row>
    <row r="132" spans="1:16" ht="15" customHeight="1">
      <c r="A132" s="109" t="s">
        <v>254</v>
      </c>
      <c r="B132" s="109">
        <v>0</v>
      </c>
      <c r="C132" s="110">
        <v>9</v>
      </c>
      <c r="D132" s="109">
        <v>9</v>
      </c>
      <c r="E132" s="111">
        <v>1</v>
      </c>
      <c r="F132" s="112">
        <v>43361.257094907407</v>
      </c>
      <c r="G132" s="112"/>
      <c r="H132" s="83"/>
      <c r="J132" s="115" t="str">
        <f>IFERROR(VLOOKUP(K132,$A:$A,1,0),"NO REPORTA EN VERSION ACTUALIZADA")</f>
        <v>TX1051035-01-CB-1</v>
      </c>
      <c r="K132" s="24" t="s">
        <v>132</v>
      </c>
      <c r="L132" s="24">
        <v>64</v>
      </c>
      <c r="M132" s="24">
        <v>213</v>
      </c>
      <c r="N132" s="24">
        <v>149</v>
      </c>
      <c r="O132" s="24" t="s">
        <v>209</v>
      </c>
      <c r="P132" s="24" t="s">
        <v>197</v>
      </c>
    </row>
    <row r="133" spans="1:16" ht="15" customHeight="1">
      <c r="A133" s="109" t="s">
        <v>156</v>
      </c>
      <c r="B133" s="109">
        <v>106</v>
      </c>
      <c r="C133" s="110">
        <v>56</v>
      </c>
      <c r="D133" s="109">
        <v>-50</v>
      </c>
      <c r="E133" s="111">
        <v>0.47</v>
      </c>
      <c r="F133" s="112">
        <v>43361.257094907407</v>
      </c>
      <c r="G133" s="112"/>
      <c r="H133" s="83"/>
      <c r="J133" s="115" t="str">
        <f>IFERROR(VLOOKUP(K133,$A:$A,1,0),"NO REPORTA EN VERSION ACTUALIZADA")</f>
        <v>TX1051035-01-CT-1</v>
      </c>
      <c r="K133" s="24" t="s">
        <v>133</v>
      </c>
      <c r="L133" s="24">
        <v>4</v>
      </c>
      <c r="M133" s="24">
        <v>39</v>
      </c>
      <c r="N133" s="24">
        <v>35</v>
      </c>
      <c r="O133" s="24" t="s">
        <v>255</v>
      </c>
      <c r="P133" s="24" t="s">
        <v>197</v>
      </c>
    </row>
    <row r="134" spans="1:16" ht="15" customHeight="1">
      <c r="A134" s="109" t="s">
        <v>157</v>
      </c>
      <c r="B134" s="109">
        <v>0</v>
      </c>
      <c r="C134" s="110">
        <v>4</v>
      </c>
      <c r="D134" s="109">
        <v>4</v>
      </c>
      <c r="E134" s="111">
        <v>1</v>
      </c>
      <c r="F134" s="112">
        <v>43361.257094907407</v>
      </c>
      <c r="G134" s="112"/>
      <c r="H134" s="83"/>
      <c r="J134" s="115" t="str">
        <f>IFERROR(VLOOKUP(K134,$A:$A,1,0),"NO REPORTA EN VERSION ACTUALIZADA")</f>
        <v>TX1051035-01-CTH-1</v>
      </c>
      <c r="K134" s="24" t="s">
        <v>134</v>
      </c>
      <c r="L134" s="24">
        <v>3</v>
      </c>
      <c r="M134" s="24">
        <v>69</v>
      </c>
      <c r="N134" s="24">
        <v>66</v>
      </c>
      <c r="O134" s="24" t="s">
        <v>215</v>
      </c>
      <c r="P134" s="24" t="s">
        <v>197</v>
      </c>
    </row>
    <row r="135" spans="1:16" ht="15" customHeight="1">
      <c r="A135" s="109" t="s">
        <v>158</v>
      </c>
      <c r="B135" s="109">
        <v>90</v>
      </c>
      <c r="C135" s="110">
        <v>82</v>
      </c>
      <c r="D135" s="109">
        <v>-8</v>
      </c>
      <c r="E135" s="111">
        <v>0.08</v>
      </c>
      <c r="F135" s="112">
        <v>43361.257094907407</v>
      </c>
      <c r="G135" s="112"/>
      <c r="H135" s="83"/>
      <c r="J135" s="115" t="str">
        <f>IFERROR(VLOOKUP(K135,$A:$A,1,0),"NO REPORTA EN VERSION ACTUALIZADA")</f>
        <v>TX1054069-00-G_01</v>
      </c>
      <c r="K135" s="24" t="s">
        <v>245</v>
      </c>
      <c r="L135" s="24">
        <v>48</v>
      </c>
      <c r="M135" s="24">
        <v>0</v>
      </c>
      <c r="N135" s="24">
        <v>-48</v>
      </c>
      <c r="O135" s="24" t="s">
        <v>196</v>
      </c>
      <c r="P135" s="24" t="s">
        <v>197</v>
      </c>
    </row>
    <row r="136" spans="1:16" ht="15" customHeight="1">
      <c r="A136" s="109" t="s">
        <v>159</v>
      </c>
      <c r="B136" s="109">
        <v>29</v>
      </c>
      <c r="C136" s="110">
        <v>2648</v>
      </c>
      <c r="D136" s="109">
        <v>2619</v>
      </c>
      <c r="E136" s="111">
        <v>0.98</v>
      </c>
      <c r="F136" s="112">
        <v>43361.257094907407</v>
      </c>
      <c r="G136" s="112"/>
      <c r="H136" s="83"/>
      <c r="J136" s="115" t="str">
        <f>IFERROR(VLOOKUP(K136,$A:$A,1,0),"NO REPORTA EN VERSION ACTUALIZADA")</f>
        <v>TX1054454-00-D_01</v>
      </c>
      <c r="K136" s="24" t="s">
        <v>246</v>
      </c>
      <c r="L136" s="24">
        <v>32</v>
      </c>
      <c r="M136" s="24">
        <v>0</v>
      </c>
      <c r="N136" s="24">
        <v>-32</v>
      </c>
      <c r="O136" s="24" t="s">
        <v>196</v>
      </c>
      <c r="P136" s="24" t="s">
        <v>197</v>
      </c>
    </row>
    <row r="137" spans="1:16" ht="15" customHeight="1">
      <c r="A137" s="109" t="s">
        <v>161</v>
      </c>
      <c r="B137" s="109">
        <v>44</v>
      </c>
      <c r="C137" s="110">
        <v>37</v>
      </c>
      <c r="D137" s="109">
        <v>-7</v>
      </c>
      <c r="E137" s="111">
        <v>0.15</v>
      </c>
      <c r="F137" s="112">
        <v>43361.257094907407</v>
      </c>
      <c r="G137" s="112"/>
      <c r="H137" s="83"/>
      <c r="J137" s="115" t="str">
        <f>IFERROR(VLOOKUP(K137,$A:$A,1,0),"NO REPORTA EN VERSION ACTUALIZADA")</f>
        <v>TX1054968-01-B_01</v>
      </c>
      <c r="K137" s="24" t="s">
        <v>135</v>
      </c>
      <c r="L137" s="24">
        <v>22</v>
      </c>
      <c r="M137" s="24">
        <v>0</v>
      </c>
      <c r="N137" s="24">
        <v>-22</v>
      </c>
      <c r="O137" s="24" t="s">
        <v>196</v>
      </c>
      <c r="P137" s="24" t="s">
        <v>197</v>
      </c>
    </row>
    <row r="138" spans="1:16" ht="15" customHeight="1">
      <c r="A138" s="109" t="s">
        <v>162</v>
      </c>
      <c r="B138" s="109">
        <v>27</v>
      </c>
      <c r="C138" s="110">
        <v>26</v>
      </c>
      <c r="D138" s="109">
        <v>-1</v>
      </c>
      <c r="E138" s="111">
        <v>0.03</v>
      </c>
      <c r="F138" s="112">
        <v>43361.257094907407</v>
      </c>
      <c r="G138" s="112"/>
      <c r="H138" s="83"/>
      <c r="J138" s="115" t="str">
        <f>IFERROR(VLOOKUP(K138,$A:$A,1,0),"NO REPORTA EN VERSION ACTUALIZADA")</f>
        <v>TX1054968-01-BB-1</v>
      </c>
      <c r="K138" s="24" t="s">
        <v>136</v>
      </c>
      <c r="L138" s="24">
        <v>0</v>
      </c>
      <c r="M138" s="24">
        <v>11</v>
      </c>
      <c r="N138" s="24">
        <v>11</v>
      </c>
      <c r="O138" s="24" t="s">
        <v>196</v>
      </c>
      <c r="P138" s="24" t="s">
        <v>197</v>
      </c>
    </row>
    <row r="139" spans="1:16" ht="15" customHeight="1">
      <c r="A139" s="109" t="s">
        <v>163</v>
      </c>
      <c r="B139" s="109">
        <v>0</v>
      </c>
      <c r="C139" s="110">
        <v>3</v>
      </c>
      <c r="D139" s="109">
        <v>3</v>
      </c>
      <c r="E139" s="111">
        <v>1</v>
      </c>
      <c r="F139" s="112">
        <v>43361.257094907407</v>
      </c>
      <c r="G139" s="112"/>
      <c r="H139" s="83"/>
      <c r="J139" s="115" t="str">
        <f>IFERROR(VLOOKUP(K139,$A:$A,1,0),"NO REPORTA EN VERSION ACTUALIZADA")</f>
        <v>TX1054968-01-BT-1</v>
      </c>
      <c r="K139" s="24" t="s">
        <v>137</v>
      </c>
      <c r="L139" s="24">
        <v>0</v>
      </c>
      <c r="M139" s="24">
        <v>6</v>
      </c>
      <c r="N139" s="24">
        <v>6</v>
      </c>
      <c r="O139" s="24" t="s">
        <v>196</v>
      </c>
      <c r="P139" s="24" t="s">
        <v>197</v>
      </c>
    </row>
    <row r="140" spans="1:16" ht="15" customHeight="1">
      <c r="A140" s="109" t="s">
        <v>164</v>
      </c>
      <c r="B140" s="109">
        <v>30</v>
      </c>
      <c r="C140" s="110">
        <v>24</v>
      </c>
      <c r="D140" s="109">
        <v>-6</v>
      </c>
      <c r="E140" s="111">
        <v>0.2</v>
      </c>
      <c r="F140" s="112">
        <v>43361.257094907407</v>
      </c>
      <c r="G140" s="112"/>
      <c r="H140" s="83"/>
      <c r="J140" s="115" t="str">
        <f>IFERROR(VLOOKUP(K140,$A:$A,1,0),"NO REPORTA EN VERSION ACTUALIZADA")</f>
        <v>TX1054968-01-BTH-1</v>
      </c>
      <c r="K140" s="24" t="s">
        <v>138</v>
      </c>
      <c r="L140" s="24">
        <v>40</v>
      </c>
      <c r="M140" s="24">
        <v>85</v>
      </c>
      <c r="N140" s="24">
        <v>45</v>
      </c>
      <c r="O140" s="24" t="s">
        <v>256</v>
      </c>
      <c r="P140" s="24" t="s">
        <v>197</v>
      </c>
    </row>
    <row r="141" spans="1:16" ht="15" customHeight="1">
      <c r="A141" s="109" t="s">
        <v>165</v>
      </c>
      <c r="B141" s="109">
        <v>64</v>
      </c>
      <c r="C141" s="110">
        <v>52</v>
      </c>
      <c r="D141" s="109">
        <v>-12</v>
      </c>
      <c r="E141" s="111">
        <v>0.18</v>
      </c>
      <c r="F141" s="112">
        <v>43361.257094907407</v>
      </c>
      <c r="G141" s="112"/>
      <c r="H141" s="83"/>
      <c r="J141" s="115" t="str">
        <f>IFERROR(VLOOKUP(K141,$A:$A,1,0),"NO REPORTA EN VERSION ACTUALIZADA")</f>
        <v>TX1054968-02-B_02</v>
      </c>
      <c r="K141" s="24" t="s">
        <v>139</v>
      </c>
      <c r="L141" s="24">
        <v>6</v>
      </c>
      <c r="M141" s="24">
        <v>1</v>
      </c>
      <c r="N141" s="24">
        <v>-5</v>
      </c>
      <c r="O141" s="24" t="s">
        <v>239</v>
      </c>
      <c r="P141" s="24" t="s">
        <v>197</v>
      </c>
    </row>
    <row r="142" spans="1:16" ht="15" customHeight="1">
      <c r="A142" s="109" t="s">
        <v>166</v>
      </c>
      <c r="B142" s="109">
        <v>15</v>
      </c>
      <c r="C142" s="110">
        <v>5</v>
      </c>
      <c r="D142" s="109">
        <v>-10</v>
      </c>
      <c r="E142" s="111">
        <v>0.66</v>
      </c>
      <c r="F142" s="112">
        <v>43361.257094907407</v>
      </c>
      <c r="G142" s="112"/>
      <c r="H142" s="83"/>
      <c r="J142" s="115" t="str">
        <f>IFERROR(VLOOKUP(K142,$A:$A,1,0),"NO REPORTA EN VERSION ACTUALIZADA")</f>
        <v>TX1054968-02-BB-2</v>
      </c>
      <c r="K142" s="24" t="s">
        <v>140</v>
      </c>
      <c r="L142" s="24">
        <v>7</v>
      </c>
      <c r="M142" s="24">
        <v>27</v>
      </c>
      <c r="N142" s="24">
        <v>20</v>
      </c>
      <c r="O142" s="24" t="s">
        <v>257</v>
      </c>
      <c r="P142" s="24" t="s">
        <v>197</v>
      </c>
    </row>
    <row r="143" spans="1:16" ht="15" customHeight="1">
      <c r="A143" s="109" t="s">
        <v>167</v>
      </c>
      <c r="B143" s="109">
        <v>3</v>
      </c>
      <c r="C143" s="110">
        <v>16</v>
      </c>
      <c r="D143" s="109">
        <v>13</v>
      </c>
      <c r="E143" s="111">
        <v>0.81</v>
      </c>
      <c r="F143" s="112">
        <v>43361.257094907407</v>
      </c>
      <c r="G143" s="112"/>
      <c r="H143" s="83"/>
      <c r="J143" s="115" t="str">
        <f>IFERROR(VLOOKUP(K143,$A:$A,1,0),"NO REPORTA EN VERSION ACTUALIZADA")</f>
        <v>TX1054968-02-BT-2</v>
      </c>
      <c r="K143" s="24" t="s">
        <v>141</v>
      </c>
      <c r="L143" s="24">
        <v>20</v>
      </c>
      <c r="M143" s="24">
        <v>8</v>
      </c>
      <c r="N143" s="24">
        <v>-12</v>
      </c>
      <c r="O143" s="24" t="s">
        <v>249</v>
      </c>
      <c r="P143" s="24" t="s">
        <v>197</v>
      </c>
    </row>
    <row r="144" spans="1:16" ht="15" customHeight="1">
      <c r="A144" s="109" t="s">
        <v>168</v>
      </c>
      <c r="B144" s="109">
        <v>577</v>
      </c>
      <c r="C144" s="110">
        <v>547</v>
      </c>
      <c r="D144" s="109">
        <v>-30</v>
      </c>
      <c r="E144" s="111">
        <v>0.05</v>
      </c>
      <c r="F144" s="112">
        <v>43361.257094907407</v>
      </c>
      <c r="G144" s="112"/>
      <c r="H144" s="83"/>
      <c r="J144" s="115" t="str">
        <f>IFERROR(VLOOKUP(K144,$A:$A,1,0),"NO REPORTA EN VERSION ACTUALIZADA")</f>
        <v>NO REPORTA EN VERSION ACTUALIZADA</v>
      </c>
      <c r="K144" s="116" t="s">
        <v>142</v>
      </c>
      <c r="L144" s="116">
        <v>0</v>
      </c>
      <c r="M144" s="116">
        <v>73</v>
      </c>
      <c r="N144" s="116">
        <v>73</v>
      </c>
      <c r="O144" s="116" t="s">
        <v>196</v>
      </c>
      <c r="P144" s="116" t="s">
        <v>197</v>
      </c>
    </row>
    <row r="145" spans="1:16" ht="15" customHeight="1">
      <c r="A145" s="109" t="s">
        <v>170</v>
      </c>
      <c r="B145" s="109">
        <v>117</v>
      </c>
      <c r="C145" s="110">
        <v>201</v>
      </c>
      <c r="D145" s="109">
        <v>84</v>
      </c>
      <c r="E145" s="111">
        <v>0.41</v>
      </c>
      <c r="F145" s="112">
        <v>43361.257094907407</v>
      </c>
      <c r="G145" s="112"/>
      <c r="H145" s="83"/>
      <c r="J145" s="115" t="str">
        <f>IFERROR(VLOOKUP(K145,$A:$A,1,0),"NO REPORTA EN VERSION ACTUALIZADA")</f>
        <v>TX1058220-02-E_02</v>
      </c>
      <c r="K145" s="24" t="s">
        <v>247</v>
      </c>
      <c r="L145" s="24">
        <v>25</v>
      </c>
      <c r="M145" s="24">
        <v>0</v>
      </c>
      <c r="N145" s="24">
        <v>-25</v>
      </c>
      <c r="O145" s="24" t="s">
        <v>196</v>
      </c>
      <c r="P145" s="24" t="s">
        <v>197</v>
      </c>
    </row>
    <row r="146" spans="1:16" ht="15" customHeight="1">
      <c r="A146" s="109" t="s">
        <v>171</v>
      </c>
      <c r="B146" s="109">
        <v>2</v>
      </c>
      <c r="C146" s="110">
        <v>9</v>
      </c>
      <c r="D146" s="109">
        <v>7</v>
      </c>
      <c r="E146" s="111">
        <v>0.77</v>
      </c>
      <c r="F146" s="112">
        <v>43361.257094907407</v>
      </c>
      <c r="G146" s="112"/>
      <c r="H146" s="83"/>
      <c r="J146" s="115" t="str">
        <f>IFERROR(VLOOKUP(K146,$A:$A,1,0),"NO REPORTA EN VERSION ACTUALIZADA")</f>
        <v>TX1058358-03-G_03</v>
      </c>
      <c r="K146" s="24" t="s">
        <v>248</v>
      </c>
      <c r="L146" s="24">
        <v>11</v>
      </c>
      <c r="M146" s="24">
        <v>0</v>
      </c>
      <c r="N146" s="24">
        <v>-11</v>
      </c>
      <c r="O146" s="24" t="s">
        <v>196</v>
      </c>
      <c r="P146" s="24" t="s">
        <v>197</v>
      </c>
    </row>
    <row r="147" spans="1:16" ht="15" customHeight="1">
      <c r="A147" s="109" t="s">
        <v>172</v>
      </c>
      <c r="B147" s="109">
        <v>452</v>
      </c>
      <c r="C147" s="110">
        <v>201</v>
      </c>
      <c r="D147" s="109">
        <v>-251</v>
      </c>
      <c r="E147" s="111">
        <v>0.55000000000000004</v>
      </c>
      <c r="F147" s="112">
        <v>43361.257094907407</v>
      </c>
      <c r="G147" s="112"/>
      <c r="H147" s="83"/>
      <c r="J147" s="115" t="str">
        <f>IFERROR(VLOOKUP(K147,$A:$A,1,0),"NO REPORTA EN VERSION ACTUALIZADA")</f>
        <v>NO REPORTA EN VERSION ACTUALIZADA</v>
      </c>
      <c r="K147" s="116" t="s">
        <v>258</v>
      </c>
      <c r="L147" s="116">
        <v>17</v>
      </c>
      <c r="M147" s="116">
        <v>0</v>
      </c>
      <c r="N147" s="116">
        <v>-17</v>
      </c>
      <c r="O147" s="116" t="s">
        <v>196</v>
      </c>
      <c r="P147" s="116" t="s">
        <v>197</v>
      </c>
    </row>
    <row r="148" spans="1:16" ht="15" customHeight="1">
      <c r="A148" s="109" t="s">
        <v>173</v>
      </c>
      <c r="B148" s="109">
        <v>22</v>
      </c>
      <c r="C148" s="110">
        <v>11</v>
      </c>
      <c r="D148" s="109">
        <v>-11</v>
      </c>
      <c r="E148" s="111">
        <v>0.5</v>
      </c>
      <c r="F148" s="112">
        <v>43361.257094907407</v>
      </c>
      <c r="G148" s="112"/>
      <c r="H148" s="83"/>
      <c r="J148" s="115" t="str">
        <f>IFERROR(VLOOKUP(K148,$A:$A,1,0),"NO REPORTA EN VERSION ACTUALIZADA")</f>
        <v>TX1059410-01-C_02</v>
      </c>
      <c r="K148" s="24" t="s">
        <v>143</v>
      </c>
      <c r="L148" s="24">
        <v>146</v>
      </c>
      <c r="M148" s="24">
        <v>0</v>
      </c>
      <c r="N148" s="24">
        <v>-146</v>
      </c>
      <c r="O148" s="24" t="s">
        <v>196</v>
      </c>
      <c r="P148" s="24" t="s">
        <v>197</v>
      </c>
    </row>
    <row r="149" spans="1:16" ht="15" customHeight="1">
      <c r="A149" s="109" t="s">
        <v>174</v>
      </c>
      <c r="B149" s="109">
        <v>6</v>
      </c>
      <c r="C149" s="110">
        <v>54</v>
      </c>
      <c r="D149" s="109">
        <v>48</v>
      </c>
      <c r="E149" s="111">
        <v>0.88</v>
      </c>
      <c r="F149" s="112">
        <v>43361.257094907407</v>
      </c>
      <c r="G149" s="112"/>
      <c r="H149" s="83"/>
      <c r="J149" s="115" t="str">
        <f>IFERROR(VLOOKUP(K149,$A:$A,1,0),"NO REPORTA EN VERSION ACTUALIZADA")</f>
        <v>TX1059410-01-CT-2</v>
      </c>
      <c r="K149" s="24" t="s">
        <v>144</v>
      </c>
      <c r="L149" s="24">
        <v>94</v>
      </c>
      <c r="M149" s="24">
        <v>60</v>
      </c>
      <c r="N149" s="24">
        <v>-34</v>
      </c>
      <c r="O149" s="24" t="s">
        <v>218</v>
      </c>
      <c r="P149" s="24" t="s">
        <v>197</v>
      </c>
    </row>
    <row r="150" spans="1:16" ht="15" customHeight="1">
      <c r="A150" s="109" t="s">
        <v>175</v>
      </c>
      <c r="B150" s="109">
        <v>35</v>
      </c>
      <c r="C150" s="110">
        <v>7</v>
      </c>
      <c r="D150" s="109">
        <v>-28</v>
      </c>
      <c r="E150" s="111">
        <v>0.8</v>
      </c>
      <c r="F150" s="112">
        <v>43361.257094907407</v>
      </c>
      <c r="G150" s="112"/>
      <c r="H150" s="83"/>
      <c r="J150" s="115" t="str">
        <f>IFERROR(VLOOKUP(K150,$A:$A,1,0),"NO REPORTA EN VERSION ACTUALIZADA")</f>
        <v>TX1059410-01-CTH-2</v>
      </c>
      <c r="K150" s="24" t="s">
        <v>145</v>
      </c>
      <c r="L150" s="24">
        <v>458</v>
      </c>
      <c r="M150" s="24">
        <v>1227</v>
      </c>
      <c r="N150" s="24">
        <v>769</v>
      </c>
      <c r="O150" s="24" t="s">
        <v>259</v>
      </c>
      <c r="P150" s="24" t="s">
        <v>197</v>
      </c>
    </row>
    <row r="151" spans="1:16" ht="15" customHeight="1">
      <c r="H151" s="83"/>
      <c r="J151" s="115" t="str">
        <f>IFERROR(VLOOKUP(K151,$A:$A,1,0),"NO REPORTA EN VERSION ACTUALIZADA")</f>
        <v>TX1059891-00-E_02</v>
      </c>
      <c r="K151" s="24" t="s">
        <v>252</v>
      </c>
      <c r="L151" s="24">
        <v>10</v>
      </c>
      <c r="M151" s="24">
        <v>0</v>
      </c>
      <c r="N151" s="24">
        <v>-10</v>
      </c>
      <c r="O151" s="24" t="s">
        <v>196</v>
      </c>
      <c r="P151" s="24" t="s">
        <v>197</v>
      </c>
    </row>
    <row r="152" spans="1:16" ht="15" customHeight="1">
      <c r="H152" s="83"/>
      <c r="J152" s="115" t="str">
        <f>IFERROR(VLOOKUP(K152,$A:$A,1,0),"NO REPORTA EN VERSION ACTUALIZADA")</f>
        <v>TX1060989-00-C_01</v>
      </c>
      <c r="K152" s="24" t="s">
        <v>253</v>
      </c>
      <c r="L152" s="24">
        <v>11</v>
      </c>
      <c r="M152" s="24">
        <v>0</v>
      </c>
      <c r="N152" s="24">
        <v>-11</v>
      </c>
      <c r="O152" s="24" t="s">
        <v>196</v>
      </c>
      <c r="P152" s="24" t="s">
        <v>197</v>
      </c>
    </row>
    <row r="153" spans="1:16" ht="15" customHeight="1">
      <c r="H153" s="83"/>
      <c r="J153" s="115" t="str">
        <f>IFERROR(VLOOKUP(K153,$A:$A,1,0),"NO REPORTA EN VERSION ACTUALIZADA")</f>
        <v>TX1061354-01-CB-1</v>
      </c>
      <c r="K153" s="24" t="s">
        <v>146</v>
      </c>
      <c r="L153" s="24">
        <v>0</v>
      </c>
      <c r="M153" s="24">
        <v>17</v>
      </c>
      <c r="N153" s="24">
        <v>17</v>
      </c>
      <c r="O153" s="24" t="s">
        <v>196</v>
      </c>
      <c r="P153" s="24" t="s">
        <v>197</v>
      </c>
    </row>
    <row r="154" spans="1:16" ht="15" customHeight="1">
      <c r="H154" s="83"/>
      <c r="J154" s="115" t="str">
        <f>IFERROR(VLOOKUP(K154,$A:$A,1,0),"NO REPORTA EN VERSION ACTUALIZADA")</f>
        <v>NO REPORTA EN VERSION ACTUALIZADA</v>
      </c>
      <c r="K154" s="116" t="s">
        <v>147</v>
      </c>
      <c r="L154" s="116">
        <v>0</v>
      </c>
      <c r="M154" s="116">
        <v>2</v>
      </c>
      <c r="N154" s="116">
        <v>2</v>
      </c>
      <c r="O154" s="116" t="s">
        <v>196</v>
      </c>
      <c r="P154" s="116" t="s">
        <v>197</v>
      </c>
    </row>
    <row r="155" spans="1:16" ht="15" customHeight="1">
      <c r="H155" s="83"/>
      <c r="J155" s="115" t="str">
        <f>IFERROR(VLOOKUP(K155,$A:$A,1,0),"NO REPORTA EN VERSION ACTUALIZADA")</f>
        <v>NO REPORTA EN VERSION ACTUALIZADA</v>
      </c>
      <c r="K155" s="116" t="s">
        <v>148</v>
      </c>
      <c r="L155" s="116">
        <v>0</v>
      </c>
      <c r="M155" s="116">
        <v>15</v>
      </c>
      <c r="N155" s="116">
        <v>15</v>
      </c>
      <c r="O155" s="116" t="s">
        <v>196</v>
      </c>
      <c r="P155" s="116" t="s">
        <v>197</v>
      </c>
    </row>
    <row r="156" spans="1:16" ht="15" customHeight="1">
      <c r="H156" s="83"/>
      <c r="J156" s="115" t="str">
        <f>IFERROR(VLOOKUP(K156,$A:$A,1,0),"NO REPORTA EN VERSION ACTUALIZADA")</f>
        <v>TX1066081-03-C_01</v>
      </c>
      <c r="K156" s="24" t="s">
        <v>149</v>
      </c>
      <c r="L156" s="24">
        <v>10</v>
      </c>
      <c r="M156" s="24">
        <v>0</v>
      </c>
      <c r="N156" s="24">
        <v>-10</v>
      </c>
      <c r="O156" s="24" t="s">
        <v>196</v>
      </c>
      <c r="P156" s="24" t="s">
        <v>197</v>
      </c>
    </row>
    <row r="157" spans="1:16" ht="15" customHeight="1">
      <c r="H157" s="83"/>
      <c r="J157" s="115" t="str">
        <f>IFERROR(VLOOKUP(K157,$A:$A,1,0),"NO REPORTA EN VERSION ACTUALIZADA")</f>
        <v>TX1066081-03-CB-1</v>
      </c>
      <c r="K157" s="24" t="s">
        <v>150</v>
      </c>
      <c r="L157" s="24">
        <v>0</v>
      </c>
      <c r="M157" s="24">
        <v>18</v>
      </c>
      <c r="N157" s="24">
        <v>18</v>
      </c>
      <c r="O157" s="24" t="s">
        <v>196</v>
      </c>
      <c r="P157" s="24" t="s">
        <v>197</v>
      </c>
    </row>
    <row r="158" spans="1:16" ht="15" customHeight="1">
      <c r="H158" s="83"/>
      <c r="J158" s="115" t="str">
        <f>IFERROR(VLOOKUP(K158,$A:$A,1,0),"NO REPORTA EN VERSION ACTUALIZADA")</f>
        <v>TX1066081-03-CT-1</v>
      </c>
      <c r="K158" s="24" t="s">
        <v>151</v>
      </c>
      <c r="L158" s="24">
        <v>2</v>
      </c>
      <c r="M158" s="24">
        <v>64</v>
      </c>
      <c r="N158" s="24">
        <v>62</v>
      </c>
      <c r="O158" s="24" t="s">
        <v>203</v>
      </c>
      <c r="P158" s="24" t="s">
        <v>197</v>
      </c>
    </row>
    <row r="159" spans="1:16" ht="15" customHeight="1">
      <c r="H159" s="83"/>
      <c r="J159" s="115" t="str">
        <f>IFERROR(VLOOKUP(K159,$A:$A,1,0),"NO REPORTA EN VERSION ACTUALIZADA")</f>
        <v>TX1066081-03-CTH-1</v>
      </c>
      <c r="K159" s="24" t="s">
        <v>152</v>
      </c>
      <c r="L159" s="24">
        <v>73</v>
      </c>
      <c r="M159" s="24">
        <v>195</v>
      </c>
      <c r="N159" s="24">
        <v>122</v>
      </c>
      <c r="O159" s="24" t="s">
        <v>259</v>
      </c>
      <c r="P159" s="24" t="s">
        <v>197</v>
      </c>
    </row>
    <row r="160" spans="1:16" ht="15" customHeight="1">
      <c r="H160" s="83"/>
      <c r="J160" s="115" t="str">
        <f>IFERROR(VLOOKUP(K160,$A:$A,1,0),"NO REPORTA EN VERSION ACTUALIZADA")</f>
        <v>NO REPORTA EN VERSION ACTUALIZADA</v>
      </c>
      <c r="K160" s="116" t="s">
        <v>260</v>
      </c>
      <c r="L160" s="116">
        <v>36</v>
      </c>
      <c r="M160" s="116">
        <v>0</v>
      </c>
      <c r="N160" s="116">
        <v>-36</v>
      </c>
      <c r="O160" s="116" t="s">
        <v>196</v>
      </c>
      <c r="P160" s="116" t="s">
        <v>197</v>
      </c>
    </row>
    <row r="161" spans="8:16" ht="15" customHeight="1">
      <c r="H161" s="83"/>
      <c r="J161" s="115" t="str">
        <f>IFERROR(VLOOKUP(K161,$A:$A,1,0),"NO REPORTA EN VERSION ACTUALIZADA")</f>
        <v>NO REPORTA EN VERSION ACTUALIZADA</v>
      </c>
      <c r="K161" s="116" t="s">
        <v>153</v>
      </c>
      <c r="L161" s="116">
        <v>0</v>
      </c>
      <c r="M161" s="116">
        <v>1</v>
      </c>
      <c r="N161" s="116">
        <v>1</v>
      </c>
      <c r="O161" s="116" t="s">
        <v>196</v>
      </c>
      <c r="P161" s="116" t="s">
        <v>197</v>
      </c>
    </row>
    <row r="162" spans="8:16" ht="15" customHeight="1">
      <c r="H162" s="83"/>
      <c r="J162" s="115" t="str">
        <f>IFERROR(VLOOKUP(K162,$A:$A,1,0),"NO REPORTA EN VERSION ACTUALIZADA")</f>
        <v>NO REPORTA EN VERSION ACTUALIZADA</v>
      </c>
      <c r="K162" s="116" t="s">
        <v>154</v>
      </c>
      <c r="L162" s="116">
        <v>29</v>
      </c>
      <c r="M162" s="116">
        <v>0</v>
      </c>
      <c r="N162" s="116">
        <v>-29</v>
      </c>
      <c r="O162" s="116" t="s">
        <v>196</v>
      </c>
      <c r="P162" s="116" t="s">
        <v>197</v>
      </c>
    </row>
    <row r="163" spans="8:16" ht="15" customHeight="1">
      <c r="H163" s="83"/>
      <c r="J163" s="115" t="str">
        <f>IFERROR(VLOOKUP(K163,$A:$A,1,0),"NO REPORTA EN VERSION ACTUALIZADA")</f>
        <v>NO REPORTA EN VERSION ACTUALIZADA</v>
      </c>
      <c r="K163" s="116" t="s">
        <v>155</v>
      </c>
      <c r="L163" s="116">
        <v>3</v>
      </c>
      <c r="M163" s="116">
        <v>3</v>
      </c>
      <c r="N163" s="116">
        <v>0</v>
      </c>
      <c r="O163" s="116" t="s">
        <v>210</v>
      </c>
      <c r="P163" s="116" t="s">
        <v>197</v>
      </c>
    </row>
    <row r="164" spans="8:16" ht="15" customHeight="1">
      <c r="H164" s="83"/>
      <c r="J164" s="115" t="str">
        <f>IFERROR(VLOOKUP(K164,$A:$A,1,0),"NO REPORTA EN VERSION ACTUALIZADA")</f>
        <v>TX1085638-01-C_01</v>
      </c>
      <c r="K164" s="24" t="s">
        <v>156</v>
      </c>
      <c r="L164" s="24">
        <v>106</v>
      </c>
      <c r="M164" s="24">
        <v>56</v>
      </c>
      <c r="N164" s="24">
        <v>-50</v>
      </c>
      <c r="O164" s="24" t="s">
        <v>236</v>
      </c>
      <c r="P164" s="24" t="s">
        <v>197</v>
      </c>
    </row>
    <row r="165" spans="8:16" ht="15" customHeight="1">
      <c r="H165" s="83"/>
      <c r="J165" s="115" t="str">
        <f>IFERROR(VLOOKUP(K165,$A:$A,1,0),"NO REPORTA EN VERSION ACTUALIZADA")</f>
        <v>TX1085638-01-CB-1</v>
      </c>
      <c r="K165" s="24" t="s">
        <v>157</v>
      </c>
      <c r="L165" s="24">
        <v>0</v>
      </c>
      <c r="M165" s="24">
        <v>12</v>
      </c>
      <c r="N165" s="24">
        <v>12</v>
      </c>
      <c r="O165" s="24" t="s">
        <v>196</v>
      </c>
      <c r="P165" s="24" t="s">
        <v>197</v>
      </c>
    </row>
    <row r="166" spans="8:16" ht="15" customHeight="1">
      <c r="H166" s="83"/>
      <c r="J166" s="115" t="str">
        <f>IFERROR(VLOOKUP(K166,$A:$A,1,0),"NO REPORTA EN VERSION ACTUALIZADA")</f>
        <v>TX1085638-01-CTH-1</v>
      </c>
      <c r="K166" s="24" t="s">
        <v>158</v>
      </c>
      <c r="L166" s="24">
        <v>90</v>
      </c>
      <c r="M166" s="24">
        <v>576</v>
      </c>
      <c r="N166" s="24">
        <v>486</v>
      </c>
      <c r="O166" s="24" t="s">
        <v>261</v>
      </c>
      <c r="P166" s="24" t="s">
        <v>197</v>
      </c>
    </row>
    <row r="167" spans="8:16" ht="15" customHeight="1">
      <c r="H167" s="83"/>
      <c r="J167" s="115" t="str">
        <f>IFERROR(VLOOKUP(K167,$A:$A,1,0),"NO REPORTA EN VERSION ACTUALIZADA")</f>
        <v>NO REPORTA EN VERSION ACTUALIZADA</v>
      </c>
      <c r="K167" s="116" t="s">
        <v>262</v>
      </c>
      <c r="L167" s="116">
        <v>7</v>
      </c>
      <c r="M167" s="116">
        <v>0</v>
      </c>
      <c r="N167" s="116">
        <v>-7</v>
      </c>
      <c r="O167" s="116" t="s">
        <v>196</v>
      </c>
      <c r="P167" s="116" t="s">
        <v>197</v>
      </c>
    </row>
    <row r="168" spans="8:16" ht="15" customHeight="1">
      <c r="H168" s="83"/>
      <c r="J168" s="115" t="str">
        <f>IFERROR(VLOOKUP(K168,$A:$A,1,0),"NO REPORTA EN VERSION ACTUALIZADA")</f>
        <v>TX1100618-01-A_01</v>
      </c>
      <c r="K168" s="24" t="s">
        <v>159</v>
      </c>
      <c r="L168" s="24">
        <v>29</v>
      </c>
      <c r="M168" s="24">
        <v>0</v>
      </c>
      <c r="N168" s="24">
        <v>-29</v>
      </c>
      <c r="O168" s="24" t="s">
        <v>196</v>
      </c>
      <c r="P168" s="24" t="s">
        <v>197</v>
      </c>
    </row>
    <row r="169" spans="8:16" ht="15" customHeight="1">
      <c r="H169" s="83"/>
      <c r="J169" s="115" t="str">
        <f>IFERROR(VLOOKUP(K169,$A:$A,1,0),"NO REPORTA EN VERSION ACTUALIZADA")</f>
        <v>NO REPORTA EN VERSION ACTUALIZADA</v>
      </c>
      <c r="K169" s="116" t="s">
        <v>160</v>
      </c>
      <c r="L169" s="116">
        <v>0</v>
      </c>
      <c r="M169" s="116">
        <v>14</v>
      </c>
      <c r="N169" s="116">
        <v>14</v>
      </c>
      <c r="O169" s="116" t="s">
        <v>196</v>
      </c>
      <c r="P169" s="116" t="s">
        <v>197</v>
      </c>
    </row>
    <row r="170" spans="8:16" ht="15" customHeight="1">
      <c r="H170" s="83"/>
      <c r="J170" s="115" t="str">
        <f>IFERROR(VLOOKUP(K170,$A:$A,1,0),"NO REPORTA EN VERSION ACTUALIZADA")</f>
        <v>TX1100618-01-ATH-1</v>
      </c>
      <c r="K170" s="24" t="s">
        <v>161</v>
      </c>
      <c r="L170" s="24">
        <v>44</v>
      </c>
      <c r="M170" s="24">
        <v>98</v>
      </c>
      <c r="N170" s="24">
        <v>54</v>
      </c>
      <c r="O170" s="24" t="s">
        <v>263</v>
      </c>
      <c r="P170" s="24" t="s">
        <v>197</v>
      </c>
    </row>
    <row r="171" spans="8:16" ht="15" customHeight="1">
      <c r="H171" s="83"/>
      <c r="J171" s="115" t="str">
        <f>IFERROR(VLOOKUP(K171,$A:$A,1,0),"NO REPORTA EN VERSION ACTUALIZADA")</f>
        <v>NO REPORTA EN VERSION ACTUALIZADA</v>
      </c>
      <c r="K171" s="116" t="s">
        <v>264</v>
      </c>
      <c r="L171" s="116">
        <v>2</v>
      </c>
      <c r="M171" s="116">
        <v>0</v>
      </c>
      <c r="N171" s="116">
        <v>-2</v>
      </c>
      <c r="O171" s="116" t="s">
        <v>196</v>
      </c>
      <c r="P171" s="116" t="s">
        <v>197</v>
      </c>
    </row>
    <row r="172" spans="8:16" ht="15" customHeight="1">
      <c r="H172" s="83"/>
      <c r="J172" s="115" t="str">
        <f>IFERROR(VLOOKUP(K172,$A:$A,1,0),"NO REPORTA EN VERSION ACTUALIZADA")</f>
        <v>TX1129901-00-ATH-1</v>
      </c>
      <c r="K172" s="24" t="s">
        <v>162</v>
      </c>
      <c r="L172" s="24">
        <v>27</v>
      </c>
      <c r="M172" s="24">
        <v>0</v>
      </c>
      <c r="N172" s="24">
        <v>-27</v>
      </c>
      <c r="O172" s="24" t="s">
        <v>196</v>
      </c>
      <c r="P172" s="24" t="s">
        <v>197</v>
      </c>
    </row>
    <row r="173" spans="8:16" ht="15" customHeight="1">
      <c r="H173" s="83"/>
      <c r="J173" s="115" t="str">
        <f>IFERROR(VLOOKUP(K173,$A:$A,1,0),"NO REPORTA EN VERSION ACTUALIZADA")</f>
        <v>TX1129901-00-ATH-1</v>
      </c>
      <c r="K173" s="24" t="s">
        <v>162</v>
      </c>
      <c r="L173" s="24">
        <v>0</v>
      </c>
      <c r="M173" s="24">
        <v>52</v>
      </c>
      <c r="N173" s="24">
        <v>52</v>
      </c>
      <c r="O173" s="24" t="s">
        <v>196</v>
      </c>
      <c r="P173" s="24" t="s">
        <v>197</v>
      </c>
    </row>
    <row r="174" spans="8:16" ht="15" customHeight="1">
      <c r="H174" s="83"/>
      <c r="J174" s="115" t="str">
        <f>IFERROR(VLOOKUP(K174,$A:$A,1,0),"NO REPORTA EN VERSION ACTUALIZADA")</f>
        <v>TX1129903-00-AT-1</v>
      </c>
      <c r="K174" s="24" t="s">
        <v>163</v>
      </c>
      <c r="L174" s="24">
        <v>0</v>
      </c>
      <c r="M174" s="24">
        <v>6</v>
      </c>
      <c r="N174" s="24">
        <v>6</v>
      </c>
      <c r="O174" s="24" t="s">
        <v>196</v>
      </c>
      <c r="P174" s="24" t="s">
        <v>197</v>
      </c>
    </row>
    <row r="175" spans="8:16" ht="15" customHeight="1">
      <c r="H175" s="83"/>
      <c r="J175" s="115" t="str">
        <f>IFERROR(VLOOKUP(K175,$A:$A,1,0),"NO REPORTA EN VERSION ACTUALIZADA")</f>
        <v>TX1129903-00-ATH-1</v>
      </c>
      <c r="K175" s="24" t="s">
        <v>164</v>
      </c>
      <c r="L175" s="24">
        <v>30</v>
      </c>
      <c r="M175" s="24">
        <v>108</v>
      </c>
      <c r="N175" s="24">
        <v>78</v>
      </c>
      <c r="O175" s="24" t="s">
        <v>265</v>
      </c>
      <c r="P175" s="24" t="s">
        <v>197</v>
      </c>
    </row>
    <row r="176" spans="8:16" ht="15" customHeight="1">
      <c r="H176" s="83"/>
      <c r="J176" s="115" t="str">
        <f>IFERROR(VLOOKUP(K176,$A:$A,1,0),"NO REPORTA EN VERSION ACTUALIZADA")</f>
        <v>TX1449781-00-A_02</v>
      </c>
      <c r="K176" s="24" t="s">
        <v>165</v>
      </c>
      <c r="L176" s="24">
        <v>64</v>
      </c>
      <c r="M176" s="24">
        <v>0</v>
      </c>
      <c r="N176" s="24">
        <v>-64</v>
      </c>
      <c r="O176" s="24" t="s">
        <v>196</v>
      </c>
      <c r="P176" s="24" t="s">
        <v>197</v>
      </c>
    </row>
    <row r="177" spans="8:16" ht="15" customHeight="1">
      <c r="H177" s="83"/>
      <c r="J177" s="115" t="str">
        <f>IFERROR(VLOOKUP(K177,$A:$A,1,0),"NO REPORTA EN VERSION ACTUALIZADA")</f>
        <v>TX1449781-00-AB-2</v>
      </c>
      <c r="K177" s="24" t="s">
        <v>166</v>
      </c>
      <c r="L177" s="24">
        <v>15</v>
      </c>
      <c r="M177" s="24">
        <v>0</v>
      </c>
      <c r="N177" s="24">
        <v>-15</v>
      </c>
      <c r="O177" s="24" t="s">
        <v>196</v>
      </c>
      <c r="P177" s="24" t="s">
        <v>197</v>
      </c>
    </row>
    <row r="178" spans="8:16" ht="15" customHeight="1">
      <c r="H178" s="83"/>
      <c r="J178" s="115" t="str">
        <f>IFERROR(VLOOKUP(K178,$A:$A,1,0),"NO REPORTA EN VERSION ACTUALIZADA")</f>
        <v>TX1449781-00-AT-2</v>
      </c>
      <c r="K178" s="24" t="s">
        <v>167</v>
      </c>
      <c r="L178" s="24">
        <v>3</v>
      </c>
      <c r="M178" s="24">
        <v>0</v>
      </c>
      <c r="N178" s="24">
        <v>-3</v>
      </c>
      <c r="O178" s="24" t="s">
        <v>196</v>
      </c>
      <c r="P178" s="24" t="s">
        <v>197</v>
      </c>
    </row>
    <row r="179" spans="8:16" ht="15" customHeight="1">
      <c r="H179" s="83"/>
      <c r="J179" s="115" t="str">
        <f>IFERROR(VLOOKUP(K179,$A:$A,1,0),"NO REPORTA EN VERSION ACTUALIZADA")</f>
        <v>TX1449781-00-ATH-2</v>
      </c>
      <c r="K179" s="24" t="s">
        <v>168</v>
      </c>
      <c r="L179" s="24">
        <v>577</v>
      </c>
      <c r="M179" s="24">
        <v>0</v>
      </c>
      <c r="N179" s="24">
        <v>-577</v>
      </c>
      <c r="O179" s="24" t="s">
        <v>196</v>
      </c>
      <c r="P179" s="24" t="s">
        <v>197</v>
      </c>
    </row>
    <row r="180" spans="8:16" ht="15" customHeight="1">
      <c r="H180" s="83"/>
      <c r="J180" s="115" t="str">
        <f>IFERROR(VLOOKUP(K180,$A:$A,1,0),"NO REPORTA EN VERSION ACTUALIZADA")</f>
        <v>NO REPORTA EN VERSION ACTUALIZADA</v>
      </c>
      <c r="K180" s="116" t="s">
        <v>169</v>
      </c>
      <c r="L180" s="116">
        <v>6</v>
      </c>
      <c r="M180" s="116">
        <v>0</v>
      </c>
      <c r="N180" s="116">
        <v>-6</v>
      </c>
      <c r="O180" s="116" t="s">
        <v>196</v>
      </c>
      <c r="P180" s="116" t="s">
        <v>197</v>
      </c>
    </row>
    <row r="181" spans="8:16" ht="15" customHeight="1">
      <c r="H181" s="83"/>
      <c r="J181" s="115" t="str">
        <f>IFERROR(VLOOKUP(K181,$A:$A,1,0),"NO REPORTA EN VERSION ACTUALIZADA")</f>
        <v>TX1454671-00-A_02</v>
      </c>
      <c r="K181" s="24" t="s">
        <v>170</v>
      </c>
      <c r="L181" s="24">
        <v>117</v>
      </c>
      <c r="M181" s="24">
        <v>0</v>
      </c>
      <c r="N181" s="24">
        <v>-117</v>
      </c>
      <c r="O181" s="24" t="s">
        <v>196</v>
      </c>
      <c r="P181" s="24" t="s">
        <v>197</v>
      </c>
    </row>
    <row r="182" spans="8:16" ht="15" customHeight="1">
      <c r="H182" s="83"/>
      <c r="J182" s="115" t="str">
        <f>IFERROR(VLOOKUP(K182,$A:$A,1,0),"NO REPORTA EN VERSION ACTUALIZADA")</f>
        <v>TX1454671-00-AT-2</v>
      </c>
      <c r="K182" s="24" t="s">
        <v>171</v>
      </c>
      <c r="L182" s="24">
        <v>2</v>
      </c>
      <c r="M182" s="24">
        <v>0</v>
      </c>
      <c r="N182" s="24">
        <v>-2</v>
      </c>
      <c r="O182" s="24" t="s">
        <v>196</v>
      </c>
      <c r="P182" s="24" t="s">
        <v>197</v>
      </c>
    </row>
    <row r="183" spans="8:16" ht="15" customHeight="1">
      <c r="H183" s="83"/>
      <c r="J183" s="115" t="str">
        <f>IFERROR(VLOOKUP(K183,$A:$A,1,0),"NO REPORTA EN VERSION ACTUALIZADA")</f>
        <v>TX1454671-00-ATH-2</v>
      </c>
      <c r="K183" s="24" t="s">
        <v>172</v>
      </c>
      <c r="L183" s="24">
        <v>452</v>
      </c>
      <c r="M183" s="24">
        <v>0</v>
      </c>
      <c r="N183" s="24">
        <v>-452</v>
      </c>
      <c r="O183" s="24" t="s">
        <v>196</v>
      </c>
      <c r="P183" s="24" t="s">
        <v>197</v>
      </c>
    </row>
    <row r="184" spans="8:16" ht="15" customHeight="1">
      <c r="H184" s="83"/>
      <c r="J184" s="115" t="str">
        <f>IFERROR(VLOOKUP(K184,$A:$A,1,0),"NO REPORTA EN VERSION ACTUALIZADA")</f>
        <v>TX1456998-00-A_01</v>
      </c>
      <c r="K184" s="24" t="s">
        <v>173</v>
      </c>
      <c r="L184" s="24">
        <v>22</v>
      </c>
      <c r="M184" s="24">
        <v>0</v>
      </c>
      <c r="N184" s="24">
        <v>-22</v>
      </c>
      <c r="O184" s="24" t="s">
        <v>196</v>
      </c>
      <c r="P184" s="24" t="s">
        <v>197</v>
      </c>
    </row>
    <row r="185" spans="8:16" ht="15" customHeight="1">
      <c r="H185" s="83"/>
      <c r="J185" s="115" t="str">
        <f>IFERROR(VLOOKUP(K185,$A:$A,1,0),"NO REPORTA EN VERSION ACTUALIZADA")</f>
        <v>TX1456998-00-AT-1</v>
      </c>
      <c r="K185" s="24" t="s">
        <v>174</v>
      </c>
      <c r="L185" s="24">
        <v>6</v>
      </c>
      <c r="M185" s="24">
        <v>0</v>
      </c>
      <c r="N185" s="24">
        <v>-6</v>
      </c>
      <c r="O185" s="24" t="s">
        <v>196</v>
      </c>
      <c r="P185" s="24" t="s">
        <v>197</v>
      </c>
    </row>
    <row r="186" spans="8:16" ht="15" customHeight="1">
      <c r="H186" s="83"/>
      <c r="J186" s="115" t="str">
        <f>IFERROR(VLOOKUP(K186,$A:$A,1,0),"NO REPORTA EN VERSION ACTUALIZADA")</f>
        <v>TX1456998-00-ATH-1</v>
      </c>
      <c r="K186" s="24" t="s">
        <v>175</v>
      </c>
      <c r="L186" s="24">
        <v>35</v>
      </c>
      <c r="M186" s="24">
        <v>0</v>
      </c>
      <c r="N186" s="24">
        <v>-35</v>
      </c>
      <c r="O186" s="24" t="s">
        <v>196</v>
      </c>
      <c r="P186" s="24" t="s">
        <v>197</v>
      </c>
    </row>
    <row r="187" spans="8:16" ht="15" customHeight="1">
      <c r="H187" s="83"/>
      <c r="J187" s="115" t="str">
        <f>IFERROR(VLOOKUP(K187,$A:$A,1,0),"NO REPORTA EN VERSION ACTUALIZADA")</f>
        <v>NO REPORTA EN VERSION ACTUALIZADA</v>
      </c>
      <c r="K187" s="116" t="s">
        <v>176</v>
      </c>
      <c r="L187" s="116">
        <v>31</v>
      </c>
      <c r="M187" s="116">
        <v>0</v>
      </c>
      <c r="N187" s="116">
        <v>-31</v>
      </c>
      <c r="O187" s="116" t="s">
        <v>196</v>
      </c>
      <c r="P187" s="116" t="s">
        <v>197</v>
      </c>
    </row>
    <row r="188" spans="8:16" ht="15" customHeight="1">
      <c r="H188" s="83"/>
      <c r="J188" s="115" t="str">
        <f>IFERROR(VLOOKUP(K188,$A:$A,1,0),"NO REPORTA EN VERSION ACTUALIZADA")</f>
        <v>NO REPORTA EN VERSION ACTUALIZADA</v>
      </c>
      <c r="K188" s="116" t="s">
        <v>177</v>
      </c>
      <c r="L188" s="116">
        <v>5</v>
      </c>
      <c r="M188" s="116">
        <v>0</v>
      </c>
      <c r="N188" s="116">
        <v>-5</v>
      </c>
      <c r="O188" s="116" t="s">
        <v>196</v>
      </c>
      <c r="P188" s="116" t="s">
        <v>197</v>
      </c>
    </row>
    <row r="189" spans="8:16" ht="15" customHeight="1">
      <c r="H189" s="83"/>
      <c r="J189" s="115" t="str">
        <f>IFERROR(VLOOKUP(K189,$A:$A,1,0),"NO REPORTA EN VERSION ACTUALIZADA")</f>
        <v>NO REPORTA EN VERSION ACTUALIZADA</v>
      </c>
      <c r="K189" s="116" t="s">
        <v>266</v>
      </c>
      <c r="L189" s="116">
        <v>69</v>
      </c>
      <c r="M189" s="116">
        <v>0</v>
      </c>
      <c r="N189" s="116">
        <v>-69</v>
      </c>
      <c r="O189" s="116" t="s">
        <v>196</v>
      </c>
      <c r="P189" s="116" t="s">
        <v>197</v>
      </c>
    </row>
    <row r="190" spans="8:16">
      <c r="H190" s="83"/>
    </row>
    <row r="191" spans="8:16">
      <c r="H191" s="83"/>
    </row>
    <row r="192" spans="8:16">
      <c r="H192" s="83"/>
    </row>
    <row r="193" spans="8:8">
      <c r="H193" s="83"/>
    </row>
    <row r="194" spans="8:8">
      <c r="H194" s="83"/>
    </row>
    <row r="195" spans="8:8">
      <c r="H195" s="83"/>
    </row>
    <row r="196" spans="8:8">
      <c r="H196" s="83"/>
    </row>
    <row r="197" spans="8:8">
      <c r="H197" s="83"/>
    </row>
    <row r="198" spans="8:8">
      <c r="H198" s="83"/>
    </row>
    <row r="199" spans="8:8">
      <c r="H199" s="83"/>
    </row>
    <row r="200" spans="8:8">
      <c r="H200" s="83"/>
    </row>
    <row r="201" spans="8:8">
      <c r="H201" s="83"/>
    </row>
    <row r="202" spans="8:8">
      <c r="H202" s="83"/>
    </row>
    <row r="203" spans="8:8">
      <c r="H203" s="83"/>
    </row>
    <row r="204" spans="8:8">
      <c r="H204" s="83"/>
    </row>
    <row r="205" spans="8:8">
      <c r="H205" s="83"/>
    </row>
    <row r="206" spans="8:8">
      <c r="H206" s="83"/>
    </row>
    <row r="207" spans="8:8">
      <c r="H207" s="83"/>
    </row>
    <row r="208" spans="8:8">
      <c r="H208" s="83"/>
    </row>
    <row r="209" spans="8:8">
      <c r="H209" s="83"/>
    </row>
    <row r="210" spans="8:8">
      <c r="H210" s="83"/>
    </row>
    <row r="211" spans="8:8">
      <c r="H211" s="83"/>
    </row>
    <row r="212" spans="8:8">
      <c r="H212" s="83"/>
    </row>
    <row r="213" spans="8:8">
      <c r="H213" s="83"/>
    </row>
    <row r="214" spans="8:8">
      <c r="H214" s="83"/>
    </row>
    <row r="215" spans="8:8">
      <c r="H215" s="83"/>
    </row>
    <row r="216" spans="8:8">
      <c r="H216" s="83"/>
    </row>
    <row r="217" spans="8:8">
      <c r="H217" s="83"/>
    </row>
    <row r="218" spans="8:8">
      <c r="H218" s="83"/>
    </row>
    <row r="219" spans="8:8">
      <c r="H219" s="83"/>
    </row>
    <row r="220" spans="8:8">
      <c r="H220" s="83"/>
    </row>
    <row r="221" spans="8:8">
      <c r="H221" s="83"/>
    </row>
    <row r="222" spans="8:8">
      <c r="H222" s="83"/>
    </row>
    <row r="223" spans="8:8">
      <c r="H223" s="83"/>
    </row>
    <row r="224" spans="8:8">
      <c r="H224" s="83"/>
    </row>
    <row r="225" spans="8:8">
      <c r="H225" s="83"/>
    </row>
    <row r="226" spans="8:8">
      <c r="H226" s="83"/>
    </row>
    <row r="227" spans="8:8">
      <c r="H227" s="83"/>
    </row>
    <row r="228" spans="8:8">
      <c r="H228" s="83"/>
    </row>
    <row r="229" spans="8:8">
      <c r="H229" s="83"/>
    </row>
    <row r="230" spans="8:8">
      <c r="H230" s="83"/>
    </row>
    <row r="231" spans="8:8">
      <c r="H231" s="83"/>
    </row>
    <row r="232" spans="8:8">
      <c r="H232" s="83"/>
    </row>
    <row r="233" spans="8:8">
      <c r="H233" s="83"/>
    </row>
    <row r="234" spans="8:8">
      <c r="H234" s="83"/>
    </row>
    <row r="235" spans="8:8">
      <c r="H235" s="83"/>
    </row>
    <row r="236" spans="8:8">
      <c r="H236" s="83"/>
    </row>
    <row r="237" spans="8:8">
      <c r="H237" s="83"/>
    </row>
    <row r="238" spans="8:8">
      <c r="H238" s="83"/>
    </row>
    <row r="239" spans="8:8">
      <c r="H239" s="83"/>
    </row>
    <row r="240" spans="8:8">
      <c r="H240" s="83"/>
    </row>
    <row r="241" spans="8:8">
      <c r="H241" s="83"/>
    </row>
    <row r="242" spans="8:8">
      <c r="H242" s="83"/>
    </row>
    <row r="243" spans="8:8">
      <c r="H243" s="83"/>
    </row>
    <row r="244" spans="8:8">
      <c r="H244" s="83"/>
    </row>
    <row r="245" spans="8:8">
      <c r="H245" s="83"/>
    </row>
    <row r="246" spans="8:8">
      <c r="H246" s="83"/>
    </row>
    <row r="247" spans="8:8">
      <c r="H247" s="83"/>
    </row>
    <row r="248" spans="8:8">
      <c r="H248" s="83"/>
    </row>
    <row r="249" spans="8:8">
      <c r="H249" s="83"/>
    </row>
    <row r="250" spans="8:8">
      <c r="H250" s="83"/>
    </row>
    <row r="251" spans="8:8">
      <c r="H251" s="83"/>
    </row>
    <row r="252" spans="8:8">
      <c r="H252" s="83"/>
    </row>
    <row r="253" spans="8:8">
      <c r="H253" s="83"/>
    </row>
    <row r="254" spans="8:8">
      <c r="H254" s="83"/>
    </row>
    <row r="255" spans="8:8">
      <c r="H255" s="83"/>
    </row>
    <row r="256" spans="8:8">
      <c r="H256" s="83"/>
    </row>
    <row r="257" spans="8:8">
      <c r="H257" s="83"/>
    </row>
    <row r="258" spans="8:8">
      <c r="H258" s="83"/>
    </row>
    <row r="259" spans="8:8">
      <c r="H259" s="83"/>
    </row>
    <row r="260" spans="8:8">
      <c r="H260" s="83"/>
    </row>
    <row r="261" spans="8:8">
      <c r="H261" s="83"/>
    </row>
    <row r="262" spans="8:8">
      <c r="H262" s="83"/>
    </row>
    <row r="263" spans="8:8">
      <c r="H263" s="83"/>
    </row>
    <row r="264" spans="8:8">
      <c r="H264" s="83"/>
    </row>
    <row r="265" spans="8:8">
      <c r="H265" s="83"/>
    </row>
    <row r="266" spans="8:8">
      <c r="H266" s="83"/>
    </row>
    <row r="267" spans="8:8">
      <c r="H267" s="83"/>
    </row>
    <row r="268" spans="8:8">
      <c r="H268" s="83"/>
    </row>
    <row r="269" spans="8:8">
      <c r="H269" s="83"/>
    </row>
    <row r="270" spans="8:8">
      <c r="H270" s="83"/>
    </row>
    <row r="271" spans="8:8">
      <c r="H271" s="83"/>
    </row>
    <row r="272" spans="8:8">
      <c r="H272" s="83"/>
    </row>
    <row r="273" spans="8:8">
      <c r="H273" s="83"/>
    </row>
    <row r="274" spans="8:8">
      <c r="H274" s="83"/>
    </row>
    <row r="275" spans="8:8">
      <c r="H275" s="83"/>
    </row>
    <row r="276" spans="8:8">
      <c r="H276" s="83"/>
    </row>
    <row r="277" spans="8:8">
      <c r="H277" s="83"/>
    </row>
    <row r="278" spans="8:8">
      <c r="H278" s="83"/>
    </row>
    <row r="279" spans="8:8">
      <c r="H279" s="83"/>
    </row>
    <row r="280" spans="8:8">
      <c r="H280" s="83"/>
    </row>
    <row r="281" spans="8:8">
      <c r="H281" s="83"/>
    </row>
    <row r="282" spans="8:8">
      <c r="H282" s="83"/>
    </row>
    <row r="283" spans="8:8">
      <c r="H283" s="83"/>
    </row>
    <row r="284" spans="8:8">
      <c r="H284" s="83"/>
    </row>
    <row r="285" spans="8:8">
      <c r="H285" s="83"/>
    </row>
    <row r="286" spans="8:8">
      <c r="H286" s="83"/>
    </row>
    <row r="287" spans="8:8">
      <c r="H287" s="83"/>
    </row>
    <row r="288" spans="8:8">
      <c r="H288" s="83"/>
    </row>
    <row r="289" spans="8:8">
      <c r="H289" s="83"/>
    </row>
    <row r="290" spans="8:8">
      <c r="H290" s="83"/>
    </row>
    <row r="291" spans="8:8">
      <c r="H291" s="83"/>
    </row>
    <row r="292" spans="8:8">
      <c r="H292" s="83"/>
    </row>
    <row r="293" spans="8:8">
      <c r="H293" s="83"/>
    </row>
    <row r="294" spans="8:8">
      <c r="H294" s="83"/>
    </row>
    <row r="295" spans="8:8">
      <c r="H295" s="83"/>
    </row>
    <row r="296" spans="8:8">
      <c r="H296" s="83"/>
    </row>
    <row r="297" spans="8:8">
      <c r="H297" s="83"/>
    </row>
    <row r="298" spans="8:8">
      <c r="H298" s="83"/>
    </row>
    <row r="299" spans="8:8">
      <c r="H299" s="83"/>
    </row>
    <row r="300" spans="8:8">
      <c r="H300" s="83"/>
    </row>
    <row r="301" spans="8:8">
      <c r="H301" s="83"/>
    </row>
    <row r="302" spans="8:8">
      <c r="H302" s="83"/>
    </row>
    <row r="303" spans="8:8">
      <c r="H303" s="83"/>
    </row>
    <row r="304" spans="8:8">
      <c r="H304" s="83"/>
    </row>
    <row r="305" spans="8:8">
      <c r="H305" s="83"/>
    </row>
    <row r="306" spans="8:8">
      <c r="H306" s="83"/>
    </row>
    <row r="307" spans="8:8">
      <c r="H307" s="83"/>
    </row>
    <row r="308" spans="8:8">
      <c r="H308" s="83"/>
    </row>
    <row r="309" spans="8:8">
      <c r="H309" s="83"/>
    </row>
    <row r="310" spans="8:8">
      <c r="H310" s="83"/>
    </row>
    <row r="311" spans="8:8">
      <c r="H311" s="83"/>
    </row>
    <row r="312" spans="8:8">
      <c r="H312" s="83"/>
    </row>
    <row r="313" spans="8:8">
      <c r="H313" s="83"/>
    </row>
    <row r="314" spans="8:8">
      <c r="H314" s="83"/>
    </row>
    <row r="315" spans="8:8">
      <c r="H315" s="83"/>
    </row>
    <row r="316" spans="8:8">
      <c r="H316" s="83"/>
    </row>
  </sheetData>
  <mergeCells count="9">
    <mergeCell ref="H9:I9"/>
    <mergeCell ref="H10:I10"/>
    <mergeCell ref="H11:I11"/>
    <mergeCell ref="H12:I12"/>
    <mergeCell ref="G4:I4"/>
    <mergeCell ref="H5:I5"/>
    <mergeCell ref="H6:I6"/>
    <mergeCell ref="H7:I7"/>
    <mergeCell ref="H8:I8"/>
  </mergeCells>
  <conditionalFormatting sqref="J1 J3:J1048576">
    <cfRule type="containsText" dxfId="1" priority="1" operator="containsText" text="NO REPORTA EN VERSION ACTUALIZADA">
      <formula>NOT(ISERROR(SEARCH("NO REPORTA EN VERSION ACTUALIZADA",J1)))</formula>
    </cfRule>
    <cfRule type="containsText" dxfId="0" priority="2" operator="containsText" text="NO REPORTA VERSION ACTUALIZADA">
      <formula>NOT(ISERROR(SEARCH("NO REPORTA VERSION ACTUALIZADA",J1)))</formula>
    </cfRule>
  </conditionalFormatting>
  <hyperlinks>
    <hyperlink ref="C3" r:id="rId1" display="http://mxchim0web05/eDashboard_CUU/_webforms/rep_mes_birthaging.aspx?a=TX1004318-00-G_02" xr:uid="{22AD58A4-F482-4710-A3C1-AB975CD33223}"/>
    <hyperlink ref="C4" r:id="rId2" display="http://mxchim0web05/eDashboard_CUU/_webforms/rep_mes_birthaging.aspx?a=TX1004318-00-GT-2" xr:uid="{D06CCE39-4368-4501-B174-380CBC8ACD3B}"/>
    <hyperlink ref="C5" r:id="rId3" display="http://mxchim0web05/eDashboard_CUU/_webforms/rep_mes_birthaging.aspx?a=TX1004318-00-GTH-2" xr:uid="{B868D0F5-C79D-4E52-B1FB-D335B754199F}"/>
    <hyperlink ref="C6" r:id="rId4" display="http://mxchim0web05/eDashboard_CUU/_webforms/rep_mes_birthaging.aspx?a=TX1004318-00-H_01" xr:uid="{266D1C29-25F5-4800-9A98-F33F4A39906B}"/>
    <hyperlink ref="C7" r:id="rId5" display="http://mxchim0web05/eDashboard_CUU/_webforms/rep_mes_birthaging.aspx?a=TX1004318-00-HT-1" xr:uid="{78C2D720-7899-42E6-A518-A526CFAE09E7}"/>
    <hyperlink ref="C8" r:id="rId6" display="http://mxchim0web05/eDashboard_CUU/_webforms/rep_mes_birthaging.aspx?a=TX1004318-00-HTH-1" xr:uid="{4561AED4-9137-48F6-AD36-58EA13A63F9C}"/>
    <hyperlink ref="C9" r:id="rId7" display="http://mxchim0web05/eDashboard_CUU/_webforms/rep_mes_birthaging.aspx?a=TX1009582-01-B_03" xr:uid="{F4609D50-B4F0-4025-8E68-C52AAEE8A386}"/>
    <hyperlink ref="C10" r:id="rId8" display="http://mxchim0web05/eDashboard_CUU/_webforms/rep_mes_birthaging.aspx?a=TX1009582-01-BT-3" xr:uid="{45C10B98-5C46-4C8F-9636-617961133415}"/>
    <hyperlink ref="C11" r:id="rId9" display="http://mxchim0web05/eDashboard_CUU/_webforms/rep_mes_birthaging.aspx?a=TX1019127-01-C_01" xr:uid="{4821FBB8-745D-4463-87D4-2FB419F509BC}"/>
    <hyperlink ref="C12" r:id="rId10" display="http://mxchim0web05/eDashboard_CUU/_webforms/rep_mes_birthaging.aspx?a=TX1019127-01-CB-1" xr:uid="{CB3BD484-3602-4A29-8C5C-B906723CA324}"/>
    <hyperlink ref="C13" r:id="rId11" display="http://mxchim0web05/eDashboard_CUU/_webforms/rep_mes_birthaging.aspx?a=TX1019127-01-CT-1" xr:uid="{6C27479C-8DD8-4B23-A1D6-257B21C066BD}"/>
    <hyperlink ref="C14" r:id="rId12" display="http://mxchim0web05/eDashboard_CUU/_webforms/rep_mes_birthaging.aspx?a=TX1019127-01-CTH-1" xr:uid="{40646A30-29D3-4E9F-8EFB-63F1D108DB0F}"/>
    <hyperlink ref="C15" r:id="rId13" display="http://mxchim0web05/eDashboard_CUU/_webforms/rep_mes_birthaging.aspx?a=TX1020419-01-C_03" xr:uid="{A4494F91-5625-4944-9DCE-9DEE4E4EEE46}"/>
    <hyperlink ref="C16" r:id="rId14" display="http://mxchim0web05/eDashboard_CUU/_webforms/rep_mes_birthaging.aspx?a=TX1020419-01-CB-3" xr:uid="{FEDBFB81-520A-4E01-A219-D6DADD094B3C}"/>
    <hyperlink ref="C17" r:id="rId15" display="http://mxchim0web05/eDashboard_CUU/_webforms/rep_mes_birthaging.aspx?a=TX1020419-01-CTH-3" xr:uid="{8F768744-3D68-4C9E-B410-494AB4446A47}"/>
    <hyperlink ref="C18" r:id="rId16" display="http://mxchim0web05/eDashboard_CUU/_webforms/rep_mes_birthaging.aspx?a=TX1020796-01-BT-4" xr:uid="{F45BE93E-02DD-4DAF-B656-A4664CA70249}"/>
    <hyperlink ref="C19" r:id="rId17" display="http://mxchim0web05/eDashboard_CUU/_webforms/rep_mes_birthaging.aspx?a=TX1021748-00-B_01" xr:uid="{FAEC9F1D-B099-496F-8EEC-62535E812926}"/>
    <hyperlink ref="C20" r:id="rId18" display="http://mxchim0web05/eDashboard_CUU/_webforms/rep_mes_birthaging.aspx?a=TX1021748-00-BTH-1" xr:uid="{2F8712CC-0FAB-4F6D-A839-D6095CDDDF23}"/>
    <hyperlink ref="C21" r:id="rId19" display="http://mxchim0web05/eDashboard_CUU/_webforms/rep_mes_birthaging.aspx?a=TX1021748-00-C_02" xr:uid="{F0FF2089-15E8-4AEA-A2F6-64D4CBDB8F25}"/>
    <hyperlink ref="C22" r:id="rId20" display="http://mxchim0web05/eDashboard_CUU/_webforms/rep_mes_birthaging.aspx?a=TX1021748-00-CT-2" xr:uid="{C82E1DDB-E980-4A9A-82A5-9B6F7AC551B5}"/>
    <hyperlink ref="C23" r:id="rId21" display="http://mxchim0web05/eDashboard_CUU/_webforms/rep_mes_birthaging.aspx?a=TX1021748-00-CTH-2" xr:uid="{865D8054-D9F6-478E-A768-DAAAB175FC76}"/>
    <hyperlink ref="C24" r:id="rId22" display="http://mxchim0web05/eDashboard_CUU/_webforms/rep_mes_birthaging.aspx?a=TX1021749-00-B_03" xr:uid="{B9D25597-E359-4812-9447-153B4FEADD82}"/>
    <hyperlink ref="C25" r:id="rId23" display="http://mxchim0web05/eDashboard_CUU/_webforms/rep_mes_birthaging.aspx?a=TX1021749-00-BT-3" xr:uid="{8334BE7B-9E6F-45C3-A716-FB60BEE7A889}"/>
    <hyperlink ref="C26" r:id="rId24" display="http://mxchim0web05/eDashboard_CUU/_webforms/rep_mes_birthaging.aspx?a=TX1021749-00-BTH-3" xr:uid="{80BE8DEE-FF2A-45B3-B3E8-FC3C30FD14CB}"/>
    <hyperlink ref="C27" r:id="rId25" display="http://mxchim0web05/eDashboard_CUU/_webforms/rep_mes_birthaging.aspx?a=TX1022005-01-G_01" xr:uid="{4A9CF3AB-0058-4787-9681-8FBB3D5236C5}"/>
    <hyperlink ref="C28" r:id="rId26" display="http://mxchim0web05/eDashboard_CUU/_webforms/rep_mes_birthaging.aspx?a=TX1022005-01-GB-1" xr:uid="{66000D1D-8D72-4988-8B81-115896923A75}"/>
    <hyperlink ref="C29" r:id="rId27" display="http://mxchim0web05/eDashboard_CUU/_webforms/rep_mes_birthaging.aspx?a=TX1022005-01-GT-1" xr:uid="{800C297C-2EAC-4CE2-BEF0-31F044AF1A69}"/>
    <hyperlink ref="C30" r:id="rId28" display="http://mxchim0web05/eDashboard_CUU/_webforms/rep_mes_birthaging.aspx?a=TX1022005-01-GTH-1" xr:uid="{C2CAF25D-D698-4708-B642-1019982791D3}"/>
    <hyperlink ref="C31" r:id="rId29" display="http://mxchim0web05/eDashboard_CUU/_webforms/rep_mes_birthaging.aspx?a=TX1023049-01-D_02" xr:uid="{C15D0B5E-2948-4EB4-A792-93E3E5808F40}"/>
    <hyperlink ref="C32" r:id="rId30" display="http://mxchim0web05/eDashboard_CUU/_webforms/rep_mes_birthaging.aspx?a=TX1023049-01-DT-2" xr:uid="{033C826A-FDF4-4DC9-B943-D1F0839FCDEB}"/>
    <hyperlink ref="C33" r:id="rId31" display="http://mxchim0web05/eDashboard_CUU/_webforms/rep_mes_birthaging.aspx?a=TX1023049-01-DTH-2" xr:uid="{707B09E4-0166-4162-945C-238A597B8164}"/>
    <hyperlink ref="C34" r:id="rId32" display="http://mxchim0web05/eDashboard_CUU/_webforms/rep_mes_birthaging.aspx?a=TX1023049-02-D_02" xr:uid="{4F812D6E-9FD0-49E9-B90A-3FB9D30F0112}"/>
    <hyperlink ref="C35" r:id="rId33" display="http://mxchim0web05/eDashboard_CUU/_webforms/rep_mes_birthaging.aspx?a=TX1023049-02-DN_02" xr:uid="{429BCF25-F358-40AA-85B7-805BCB4CA0FD}"/>
    <hyperlink ref="C36" r:id="rId34" display="http://mxchim0web05/eDashboard_CUU/_webforms/rep_mes_birthaging.aspx?a=TX1023049-02-DT-2" xr:uid="{BF72BC28-CC82-497A-946E-57EB380FDDD6}"/>
    <hyperlink ref="C37" r:id="rId35" display="http://mxchim0web05/eDashboard_CUU/_webforms/rep_mes_birthaging.aspx?a=TX1023049-02-DTH-2" xr:uid="{940E8C6B-85A2-4330-918A-B1DFB448DCD0}"/>
    <hyperlink ref="C38" r:id="rId36" display="http://mxchim0web05/eDashboard_CUU/_webforms/rep_mes_birthaging.aspx?a=TX1026696-00-G_01" xr:uid="{3D46A267-35A1-4F50-957B-0CC8BE533F3D}"/>
    <hyperlink ref="C39" r:id="rId37" display="http://mxchim0web05/eDashboard_CUU/_webforms/rep_mes_birthaging.aspx?a=TX1026696-00-GB-1" xr:uid="{9979E98B-9A5B-4F48-A430-086716B7A0CA}"/>
    <hyperlink ref="C40" r:id="rId38" display="http://mxchim0web05/eDashboard_CUU/_webforms/rep_mes_birthaging.aspx?a=TX1026696-00-GT-1" xr:uid="{4AE31962-D094-49C0-AF93-5B697A2BCF6D}"/>
    <hyperlink ref="C41" r:id="rId39" display="http://mxchim0web05/eDashboard_CUU/_webforms/rep_mes_birthaging.aspx?a=TX1026696-00-GTH-1" xr:uid="{BC14A66A-F697-4DEA-958B-6F95C4707CE3}"/>
    <hyperlink ref="C42" r:id="rId40" display="http://mxchim0web05/eDashboard_CUU/_webforms/rep_mes_birthaging.aspx?a=TX1026865-00-D_02" xr:uid="{A9259848-0BF6-48BB-A577-D7398D520179}"/>
    <hyperlink ref="C43" r:id="rId41" display="http://mxchim0web05/eDashboard_CUU/_webforms/rep_mes_birthaging.aspx?a=TX1026865-00-DTH-2" xr:uid="{AB8F8C09-CCA0-4EB2-9AB3-CA04EA60F569}"/>
    <hyperlink ref="C44" r:id="rId42" display="http://mxchim0web05/eDashboard_CUU/_webforms/rep_mes_birthaging.aspx?a=TX1028578-01-C_03" xr:uid="{801018DA-F469-4C79-BABD-4986A4ECB96B}"/>
    <hyperlink ref="C45" r:id="rId43" display="http://mxchim0web05/eDashboard_CUU/_webforms/rep_mes_birthaging.aspx?a=TX1028578-01-CT-3" xr:uid="{B47D1BF1-E2A2-4B7D-8E1D-30C902B44C8B}"/>
    <hyperlink ref="C46" r:id="rId44" display="http://mxchim0web05/eDashboard_CUU/_webforms/rep_mes_birthaging.aspx?a=TX1028578-01-CTH-3" xr:uid="{DD4236A0-4CBC-40FC-AECA-AD620A989B34}"/>
    <hyperlink ref="C47" r:id="rId45" display="http://mxchim0web05/eDashboard_CUU/_webforms/rep_mes_birthaging.aspx?a=TX1031308-01-F_02" xr:uid="{2E2E47A1-669D-471F-8A61-57C2AAE3047D}"/>
    <hyperlink ref="C48" r:id="rId46" display="http://mxchim0web05/eDashboard_CUU/_webforms/rep_mes_birthaging.aspx?a=TX1031308-01-FT-2" xr:uid="{B3B9CA9A-99E2-4020-865F-A46B3E641F92}"/>
    <hyperlink ref="C49" r:id="rId47" display="http://mxchim0web05/eDashboard_CUU/_webforms/rep_mes_birthaging.aspx?a=TX1031308-01-FTH-2" xr:uid="{8FF956D5-154E-4297-96B4-415690A8408D}"/>
    <hyperlink ref="C50" r:id="rId48" display="http://mxchim0web05/eDashboard_CUU/_webforms/rep_mes_birthaging.aspx?a=TX1031415-01-EB-3" xr:uid="{4DA36CF0-772E-4D0A-B250-4615E11179DF}"/>
    <hyperlink ref="C51" r:id="rId49" display="http://mxchim0web05/eDashboard_CUU/_webforms/rep_mes_birthaging.aspx?a=TX1031415-01-ET-3" xr:uid="{626F5AF7-29F7-4C6F-BA03-9CA019A34DDA}"/>
    <hyperlink ref="C52" r:id="rId50" display="http://mxchim0web05/eDashboard_CUU/_webforms/rep_mes_birthaging.aspx?a=TX1031415-01-ETH-3" xr:uid="{2C27ABE4-C42E-4E8B-BA64-DBFDE304726D}"/>
    <hyperlink ref="C53" r:id="rId51" display="http://mxchim0web05/eDashboard_CUU/_webforms/rep_mes_birthaging.aspx?a=TX1031503-01-F_04" xr:uid="{AFE546B0-527C-4DAA-AEFF-40C5AF7ED614}"/>
    <hyperlink ref="C54" r:id="rId52" display="http://mxchim0web05/eDashboard_CUU/_webforms/rep_mes_birthaging.aspx?a=TX1031503-01-FB-4" xr:uid="{AAE315B3-3C60-4719-8236-15CE296F459A}"/>
    <hyperlink ref="C55" r:id="rId53" display="http://mxchim0web05/eDashboard_CUU/_webforms/rep_mes_birthaging.aspx?a=TX1031503-01-FT-4" xr:uid="{F7E2BE15-DE5D-44A5-9305-097EE608D1A1}"/>
    <hyperlink ref="C56" r:id="rId54" display="http://mxchim0web05/eDashboard_CUU/_webforms/rep_mes_birthaging.aspx?a=TX1031503-01-FTH-4" xr:uid="{20A5E4FA-5CFC-4468-ABA3-BE066B301CB6}"/>
    <hyperlink ref="C57" r:id="rId55" display="http://mxchim0web05/eDashboard_CUU/_webforms/rep_mes_birthaging.aspx?a=TX1031503-01-G_01" xr:uid="{7D1F1528-FDD1-473D-BD5F-A44917AC3EDB}"/>
    <hyperlink ref="C58" r:id="rId56" display="http://mxchim0web05/eDashboard_CUU/_webforms/rep_mes_birthaging.aspx?a=TX1031503-01-GB-1" xr:uid="{738A40C8-0014-4B44-9644-45C3168949BE}"/>
    <hyperlink ref="C59" r:id="rId57" display="http://mxchim0web05/eDashboard_CUU/_webforms/rep_mes_birthaging.aspx?a=TX1031503-01-GTH-1" xr:uid="{357040BB-F72F-4D7E-B842-4480F4C14BA5}"/>
    <hyperlink ref="C60" r:id="rId58" display="http://mxchim0web05/eDashboard_CUU/_webforms/rep_mes_birthaging.aspx?a=TX1031503-02-AB-3" xr:uid="{B75C0F24-20B2-4E55-9CD5-4645D6CE31AF}"/>
    <hyperlink ref="C61" r:id="rId59" display="http://mxchim0web05/eDashboard_CUU/_webforms/rep_mes_birthaging.aspx?a=TX1031503-02-AT-3" xr:uid="{AB73C10B-3DD1-4A3F-A20F-B8E0023501FA}"/>
    <hyperlink ref="C62" r:id="rId60" display="http://mxchim0web05/eDashboard_CUU/_webforms/rep_mes_birthaging.aspx?a=TX1031503-02-ATH-3" xr:uid="{02FC80D8-81FE-498A-BABD-BCE64AB1FFEC}"/>
    <hyperlink ref="C63" r:id="rId61" display="http://mxchim0web05/eDashboard_CUU/_webforms/rep_mes_birthaging.aspx?a=TX1031503-02-B_01" xr:uid="{A41A0486-84E5-46FB-9195-6D733AEF87FD}"/>
    <hyperlink ref="C64" r:id="rId62" display="http://mxchim0web05/eDashboard_CUU/_webforms/rep_mes_birthaging.aspx?a=TX1031503-02-BTH-1" xr:uid="{1CFC0F5B-BB0F-4B09-8FC3-E38E9EBDA53D}"/>
    <hyperlink ref="C65" r:id="rId63" display="http://mxchim0web05/eDashboard_CUU/_webforms/rep_mes_birthaging.aspx?a=TX1034827-01-E_01" xr:uid="{7661FC5A-52C2-4816-B5B6-8EDCC29F30C2}"/>
    <hyperlink ref="C66" r:id="rId64" display="http://mxchim0web05/eDashboard_CUU/_webforms/rep_mes_birthaging.aspx?a=TX1034827-01-EB-1" xr:uid="{3DE1853A-6E05-416A-AB84-DD6770B0278F}"/>
    <hyperlink ref="C67" r:id="rId65" display="http://mxchim0web05/eDashboard_CUU/_webforms/rep_mes_birthaging.aspx?a=TX1034827-01-ET-1" xr:uid="{9E9ED398-4701-4B96-8A22-B880C4B78527}"/>
    <hyperlink ref="C68" r:id="rId66" display="http://mxchim0web05/eDashboard_CUU/_webforms/rep_mes_birthaging.aspx?a=TX1034827-01-ETH-1" xr:uid="{9921DFD6-B910-4B65-A3DE-594763ADA458}"/>
    <hyperlink ref="C69" r:id="rId67" display="http://mxchim0web05/eDashboard_CUU/_webforms/rep_mes_birthaging.aspx?a=TX1036279-00-F_01" xr:uid="{9F49EB9C-0B4A-4CB9-B6FE-410286E3A9C8}"/>
    <hyperlink ref="C70" r:id="rId68" display="http://mxchim0web05/eDashboard_CUU/_webforms/rep_mes_birthaging.aspx?a=TX1041562-00-B_02" xr:uid="{7153CD24-92C0-4008-B203-9FD90D4D6D31}"/>
    <hyperlink ref="C71" r:id="rId69" display="http://mxchim0web05/eDashboard_CUU/_webforms/rep_mes_birthaging.aspx?a=TX1041562-00-BT-2" xr:uid="{9B7DE3B3-B417-44DA-AEFD-D4CF0C3F6A78}"/>
    <hyperlink ref="C72" r:id="rId70" display="http://mxchim0web05/eDashboard_CUU/_webforms/rep_mes_birthaging.aspx?a=TX1041562-00-BTH-2" xr:uid="{2B3CBDD4-C9FB-4CE5-A520-A323E7DD2936}"/>
    <hyperlink ref="C73" r:id="rId71" display="http://mxchim0web05/eDashboard_CUU/_webforms/rep_mes_birthaging.aspx?a=TX1043900-00-E_01" xr:uid="{0303CBE6-CC2E-49FE-9250-6AF1E7F5832B}"/>
    <hyperlink ref="C74" r:id="rId72" display="http://mxchim0web05/eDashboard_CUU/_webforms/rep_mes_birthaging.aspx?a=TX1045451-00-H_01" xr:uid="{A031E61C-33D3-4E68-B452-1A2AE71D64FA}"/>
    <hyperlink ref="C75" r:id="rId73" display="http://mxchim0web05/eDashboard_CUU/_webforms/rep_mes_birthaging.aspx?a=TX1045483-00-J_01" xr:uid="{112BE2DC-1462-47D7-8374-96DFE6DE3043}"/>
    <hyperlink ref="C76" r:id="rId74" display="http://mxchim0web05/eDashboard_CUU/_webforms/rep_mes_birthaging.aspx?a=TX1045483-00-JB-1" xr:uid="{2E167DEC-F3CD-4306-8083-E526F64D0DE4}"/>
    <hyperlink ref="C77" r:id="rId75" display="http://mxchim0web05/eDashboard_CUU/_webforms/rep_mes_birthaging.aspx?a=TX1045483-00-JT-1" xr:uid="{6CCC39E6-4C91-45A0-A1F5-B6047AA5971F}"/>
    <hyperlink ref="C78" r:id="rId76" display="http://mxchim0web05/eDashboard_CUU/_webforms/rep_mes_birthaging.aspx?a=TX1045483-00-JTH-1" xr:uid="{5126BF2C-0E33-4132-8835-24B092701E2D}"/>
    <hyperlink ref="C79" r:id="rId77" display="http://mxchim0web05/eDashboard_CUU/_webforms/rep_mes_birthaging.aspx?a=TX1045490-00-G_01" xr:uid="{49485135-ED10-458D-ACE7-A52940F303A6}"/>
    <hyperlink ref="C80" r:id="rId78" display="http://mxchim0web05/eDashboard_CUU/_webforms/rep_mes_birthaging.aspx?a=TX1047030-01-DB-3" xr:uid="{ED3EAB7E-CDBC-4309-B42E-E94E63DF5B97}"/>
    <hyperlink ref="C81" r:id="rId79" display="http://mxchim0web05/eDashboard_CUU/_webforms/rep_mes_birthaging.aspx?a=TX1047030-01-DT-3" xr:uid="{483ECE30-2BF2-4FA0-A380-FB059F08DDEE}"/>
    <hyperlink ref="C82" r:id="rId80" display="http://mxchim0web05/eDashboard_CUU/_webforms/rep_mes_birthaging.aspx?a=TX1047030-01-DTH-3" xr:uid="{9B138FB0-E2BC-46C5-BA61-FD6599445F2A}"/>
    <hyperlink ref="C83" r:id="rId81" display="http://mxchim0web05/eDashboard_CUU/_webforms/rep_mes_birthaging.aspx?a=TX1048708-02-F_01" xr:uid="{A56F7765-AB95-41FF-904D-51BCFC031365}"/>
    <hyperlink ref="C84" r:id="rId82" display="http://mxchim0web05/eDashboard_CUU/_webforms/rep_mes_birthaging.aspx?a=TX1048708-02-FB-1" xr:uid="{7931BC2D-F4EF-41DA-83F6-FECFF7463826}"/>
    <hyperlink ref="C85" r:id="rId83" display="http://mxchim0web05/eDashboard_CUU/_webforms/rep_mes_birthaging.aspx?a=TX1048708-02-FT-1" xr:uid="{4FE81A88-1213-4581-9B3C-C84B0E040C4B}"/>
    <hyperlink ref="C86" r:id="rId84" display="http://mxchim0web05/eDashboard_CUU/_webforms/rep_mes_birthaging.aspx?a=TX1048708-02-FTH-1" xr:uid="{0D8A3325-4093-444D-ACE1-89860BC7AC98}"/>
    <hyperlink ref="C87" r:id="rId85" display="http://mxchim0web05/eDashboard_CUU/_webforms/rep_mes_birthaging.aspx?a=TX1049219-01-C_02" xr:uid="{EB5F3630-7619-468A-830F-007F6B4F6C13}"/>
    <hyperlink ref="C88" r:id="rId86" display="http://mxchim0web05/eDashboard_CUU/_webforms/rep_mes_birthaging.aspx?a=TX1049219-01-CB-2" xr:uid="{0EC18846-1E6F-42DB-9F1E-60DDE68945FD}"/>
    <hyperlink ref="C89" r:id="rId87" display="http://mxchim0web05/eDashboard_CUU/_webforms/rep_mes_birthaging.aspx?a=TX1049219-01-CT-2" xr:uid="{E5D4C826-F9CF-4741-89D8-F82DCD387B69}"/>
    <hyperlink ref="C90" r:id="rId88" display="http://mxchim0web05/eDashboard_CUU/_webforms/rep_mes_birthaging.aspx?a=TX1049371-01-D_01" xr:uid="{2EFFECC8-D25C-48F5-9D86-13D9B26C26B8}"/>
    <hyperlink ref="C91" r:id="rId89" display="http://mxchim0web05/eDashboard_CUU/_webforms/rep_mes_birthaging.aspx?a=TX1049371-01-DT-1" xr:uid="{49EA874E-A726-4E46-966E-E940546C89EB}"/>
    <hyperlink ref="C92" r:id="rId90" display="http://mxchim0web05/eDashboard_CUU/_webforms/rep_mes_birthaging.aspx?a=TX1049371-01-DTH-1" xr:uid="{1471C860-BAA1-4019-A496-95D67D076DF9}"/>
    <hyperlink ref="C93" r:id="rId91" display="http://mxchim0web05/eDashboard_CUU/_webforms/rep_mes_birthaging.aspx?a=TX1049371-05-D_01" xr:uid="{69DD39CC-4160-4CF6-A205-BAE47E0A248F}"/>
    <hyperlink ref="C94" r:id="rId92" display="http://mxchim0web05/eDashboard_CUU/_webforms/rep_mes_birthaging.aspx?a=TX1049371-05-DT-1" xr:uid="{BC8315FB-E7C2-4082-AC01-AA276BDF4C59}"/>
    <hyperlink ref="C95" r:id="rId93" display="http://mxchim0web05/eDashboard_CUU/_webforms/rep_mes_birthaging.aspx?a=TX1049371-05-DTH-1" xr:uid="{73EE25E3-B3A9-4BDC-BA8A-5A724392A71C}"/>
    <hyperlink ref="C96" r:id="rId94" display="http://mxchim0web05/eDashboard_CUU/_webforms/rep_mes_birthaging.aspx?a=TX1049371-08-D_01" xr:uid="{5D3B5379-63C1-4E6A-B9D1-0F524F70705B}"/>
    <hyperlink ref="C97" r:id="rId95" display="http://mxchim0web05/eDashboard_CUU/_webforms/rep_mes_birthaging.aspx?a=TX1049371-08-DTH-1" xr:uid="{EB3875C6-F5A8-4628-BD98-6520A968B7C9}"/>
    <hyperlink ref="C98" r:id="rId96" display="http://mxchim0web05/eDashboard_CUU/_webforms/rep_mes_birthaging.aspx?a=TX1049524-01-D_01" xr:uid="{4034FB44-981D-471A-B598-D4A0807EBB81}"/>
    <hyperlink ref="C99" r:id="rId97" display="http://mxchim0web05/eDashboard_CUU/_webforms/rep_mes_birthaging.aspx?a=TX1049524-01-DT-1" xr:uid="{DDCA1890-5C4E-4C83-ADFE-DDA501F1C6F8}"/>
    <hyperlink ref="C100" r:id="rId98" display="http://mxchim0web05/eDashboard_CUU/_webforms/rep_mes_birthaging.aspx?a=TX1049678-00-H_03" xr:uid="{8F67F1A7-93CA-49AF-855B-29BD9C172312}"/>
    <hyperlink ref="C101" r:id="rId99" display="http://mxchim0web05/eDashboard_CUU/_webforms/rep_mes_birthaging.aspx?a=TX1050951-00-A_01" xr:uid="{A3654DE2-59BE-48AC-AA4C-21A37FEE1499}"/>
    <hyperlink ref="C102" r:id="rId100" display="http://mxchim0web05/eDashboard_CUU/_webforms/rep_mes_birthaging.aspx?a=TX1050951-00-AT-1" xr:uid="{A25BA057-283A-445F-9257-BA13F24379FA}"/>
    <hyperlink ref="C103" r:id="rId101" display="http://mxchim0web05/eDashboard_CUU/_webforms/rep_mes_birthaging.aspx?a=TX1050951-00-ATH-1" xr:uid="{253AFDFB-D4DB-4482-A657-F64C417BA01F}"/>
    <hyperlink ref="C104" r:id="rId102" display="http://mxchim0web05/eDashboard_CUU/_webforms/rep_mes_birthaging.aspx?a=TX1051035-01-C_01" xr:uid="{92F08CDA-70D7-4B0E-A355-2D970F1410B6}"/>
    <hyperlink ref="C105" r:id="rId103" display="http://mxchim0web05/eDashboard_CUU/_webforms/rep_mes_birthaging.aspx?a=TX1051035-01-CB-1" xr:uid="{3C32F908-7EEA-4997-90DA-04B3227FF51D}"/>
    <hyperlink ref="C106" r:id="rId104" display="http://mxchim0web05/eDashboard_CUU/_webforms/rep_mes_birthaging.aspx?a=TX1051035-01-CT-1" xr:uid="{24E70E17-0419-4093-8E94-D89AE5EB703C}"/>
    <hyperlink ref="C107" r:id="rId105" display="http://mxchim0web05/eDashboard_CUU/_webforms/rep_mes_birthaging.aspx?a=TX1051035-01-CTH-1" xr:uid="{F14B0E7A-84C6-4982-B31D-F1228DAAAF23}"/>
    <hyperlink ref="C108" r:id="rId106" display="http://mxchim0web05/eDashboard_CUU/_webforms/rep_mes_birthaging.aspx?a=TX1054069-00-G_01" xr:uid="{20F4D8CF-4B78-4D0C-B6D5-AD3370BF4992}"/>
    <hyperlink ref="C109" r:id="rId107" display="http://mxchim0web05/eDashboard_CUU/_webforms/rep_mes_birthaging.aspx?a=TX1054454-00-D_01" xr:uid="{FC1C7A38-DB52-4177-B47B-598277FEDF9C}"/>
    <hyperlink ref="C110" r:id="rId108" display="http://mxchim0web05/eDashboard_CUU/_webforms/rep_mes_birthaging.aspx?a=TX1054968-01-B_01" xr:uid="{6664E1E0-9BB5-4C60-BB11-DB927207380A}"/>
    <hyperlink ref="C111" r:id="rId109" display="http://mxchim0web05/eDashboard_CUU/_webforms/rep_mes_birthaging.aspx?a=TX1054968-01-BB-1" xr:uid="{4B797875-1FCC-42D1-8D19-347EF07CD96E}"/>
    <hyperlink ref="C112" r:id="rId110" display="http://mxchim0web05/eDashboard_CUU/_webforms/rep_mes_birthaging.aspx?a=TX1054968-01-BT-1" xr:uid="{3C89FC2A-F1F8-4F07-82EE-C6116DE43E59}"/>
    <hyperlink ref="C113" r:id="rId111" display="http://mxchim0web05/eDashboard_CUU/_webforms/rep_mes_birthaging.aspx?a=TX1054968-01-BTH-1" xr:uid="{00438143-726C-4029-8541-3E1C42D1D1CC}"/>
    <hyperlink ref="C114" r:id="rId112" display="http://mxchim0web05/eDashboard_CUU/_webforms/rep_mes_birthaging.aspx?a=TX1054968-02-B_02" xr:uid="{CC104798-5536-43B8-9A06-A4FA451FC358}"/>
    <hyperlink ref="C115" r:id="rId113" display="http://mxchim0web05/eDashboard_CUU/_webforms/rep_mes_birthaging.aspx?a=TX1054968-02-BB-2" xr:uid="{4F133282-C9BB-40DC-9127-69C3FD0E5939}"/>
    <hyperlink ref="C116" r:id="rId114" display="http://mxchim0web05/eDashboard_CUU/_webforms/rep_mes_birthaging.aspx?a=TX1054968-02-BT-2" xr:uid="{1290F33E-EB65-409B-975C-8C61D863071A}"/>
    <hyperlink ref="C117" r:id="rId115" display="http://mxchim0web05/eDashboard_CUU/_webforms/rep_mes_birthaging.aspx?a=TX1058220-02-E_02" xr:uid="{F8D8D0F3-8150-4DA6-AD1D-4A28690AE6B0}"/>
    <hyperlink ref="C118" r:id="rId116" display="http://mxchim0web05/eDashboard_CUU/_webforms/rep_mes_birthaging.aspx?a=TX1058358-03-G_03" xr:uid="{BA6404CC-25A1-4960-96EF-E1F4CABD7384}"/>
    <hyperlink ref="C119" r:id="rId117" display="http://mxchim0web05/eDashboard_CUU/_webforms/rep_mes_birthaging.aspx?a=TX1059410-01-C_02" xr:uid="{AEEEA03D-9D42-492B-90F0-11EA9A191976}"/>
    <hyperlink ref="C120" r:id="rId118" display="http://mxchim0web05/eDashboard_CUU/_webforms/rep_mes_birthaging.aspx?a=TX1059410-01-CT-2" xr:uid="{C29E9B3F-53E8-4335-B662-CA88512D0FDF}"/>
    <hyperlink ref="C121" r:id="rId119" display="http://mxchim0web05/eDashboard_CUU/_webforms/rep_mes_birthaging.aspx?a=TX1059410-01-CTH-2" xr:uid="{D6484799-D9B5-4BBF-BC8B-DBC10520B46B}"/>
    <hyperlink ref="C122" r:id="rId120" display="http://mxchim0web05/eDashboard_CUU/_webforms/rep_mes_birthaging.aspx?a=TX1059891-00-D_01" xr:uid="{E59A453F-9A48-4B03-A369-E8FFB614E5BE}"/>
    <hyperlink ref="C123" r:id="rId121" display="http://mxchim0web05/eDashboard_CUU/_webforms/rep_mes_birthaging.aspx?a=TX1059891-00-E_02" xr:uid="{03924423-BD2B-48CD-AED7-266E3115EF20}"/>
    <hyperlink ref="C124" r:id="rId122" display="http://mxchim0web05/eDashboard_CUU/_webforms/rep_mes_birthaging.aspx?a=TX1060989-00-C_01" xr:uid="{6F0D66C6-D986-4338-AC35-B932741BFFF3}"/>
    <hyperlink ref="C125" r:id="rId123" display="http://mxchim0web05/eDashboard_CUU/_webforms/rep_mes_birthaging.aspx?a=TX1061354-01-CB-1" xr:uid="{F4678B9A-08F8-4703-B39C-843DE5796926}"/>
    <hyperlink ref="C126" r:id="rId124" display="http://mxchim0web05/eDashboard_CUU/_webforms/rep_mes_birthaging.aspx?a=TX1061354-02-CB-1" xr:uid="{3FE0BBC6-FB53-467D-81B9-83E03215903A}"/>
    <hyperlink ref="C127" r:id="rId125" display="http://mxchim0web05/eDashboard_CUU/_webforms/rep_mes_birthaging.aspx?a=TX1061354-02-CTH-1" xr:uid="{20DFB5E9-14BD-40BC-94D5-2EC6622EA37E}"/>
    <hyperlink ref="C128" r:id="rId126" display="http://mxchim0web05/eDashboard_CUU/_webforms/rep_mes_birthaging.aspx?a=TX1066081-03-C_01" xr:uid="{864D2304-A537-427F-9E9B-8CBD901EB857}"/>
    <hyperlink ref="C129" r:id="rId127" display="http://mxchim0web05/eDashboard_CUU/_webforms/rep_mes_birthaging.aspx?a=TX1066081-03-CB-1" xr:uid="{67E9FAAC-820C-4BFE-B311-3E9B61981F3F}"/>
    <hyperlink ref="C130" r:id="rId128" display="http://mxchim0web05/eDashboard_CUU/_webforms/rep_mes_birthaging.aspx?a=TX1066081-03-CT-1" xr:uid="{639BD89A-5E0C-455E-9A32-0CB182DD5F05}"/>
    <hyperlink ref="C131" r:id="rId129" display="http://mxchim0web05/eDashboard_CUU/_webforms/rep_mes_birthaging.aspx?a=TX1066081-03-CTH-1" xr:uid="{1356CC91-0796-498A-AD79-08268C85E1B7}"/>
    <hyperlink ref="C132" r:id="rId130" display="http://mxchim0web05/eDashboard_CUU/_webforms/rep_mes_birthaging.aspx?a=TX1072541-00-C_01" xr:uid="{DB2F40D2-4E3C-4D28-B103-19C5B781DAA4}"/>
    <hyperlink ref="C133" r:id="rId131" display="http://mxchim0web05/eDashboard_CUU/_webforms/rep_mes_birthaging.aspx?a=TX1085638-01-C_01" xr:uid="{8976724E-7FBB-4A34-A9CA-D0908B81C169}"/>
    <hyperlink ref="C134" r:id="rId132" display="http://mxchim0web05/eDashboard_CUU/_webforms/rep_mes_birthaging.aspx?a=TX1085638-01-CB-1" xr:uid="{EFE373B0-38DD-4F02-A5A5-5300543E51AF}"/>
    <hyperlink ref="C135" r:id="rId133" display="http://mxchim0web05/eDashboard_CUU/_webforms/rep_mes_birthaging.aspx?a=TX1085638-01-CTH-1" xr:uid="{D26AE4DC-46AC-445E-9185-866765B7EFED}"/>
    <hyperlink ref="C136" r:id="rId134" display="http://mxchim0web05/eDashboard_CUU/_webforms/rep_mes_birthaging.aspx?a=TX1100618-01-A_01" xr:uid="{FD88E798-FB02-47A3-A4EE-4A64C6057CC0}"/>
    <hyperlink ref="C137" r:id="rId135" display="http://mxchim0web05/eDashboard_CUU/_webforms/rep_mes_birthaging.aspx?a=TX1100618-01-ATH-1" xr:uid="{6B8C1289-27C9-40B9-A0C8-0921B39C5D7E}"/>
    <hyperlink ref="C138" r:id="rId136" display="http://mxchim0web05/eDashboard_CUU/_webforms/rep_mes_birthaging.aspx?a=TX1129901-00-ATH-1" xr:uid="{58C3A5D6-E43B-406C-A2BC-EE794287AEAA}"/>
    <hyperlink ref="C139" r:id="rId137" display="http://mxchim0web05/eDashboard_CUU/_webforms/rep_mes_birthaging.aspx?a=TX1129903-00-AT-1" xr:uid="{8B2503D4-AF42-421A-8BC4-1ED916A5297D}"/>
    <hyperlink ref="C140" r:id="rId138" display="http://mxchim0web05/eDashboard_CUU/_webforms/rep_mes_birthaging.aspx?a=TX1129903-00-ATH-1" xr:uid="{724F040F-34DA-44C5-B1F7-34AE81E2AD0E}"/>
    <hyperlink ref="C141" r:id="rId139" display="http://mxchim0web05/eDashboard_CUU/_webforms/rep_mes_birthaging.aspx?a=TX1449781-00-A_02" xr:uid="{207B0A45-4636-4CA1-B5D8-976E33A95EE6}"/>
    <hyperlink ref="C142" r:id="rId140" display="http://mxchim0web05/eDashboard_CUU/_webforms/rep_mes_birthaging.aspx?a=TX1449781-00-AB-2" xr:uid="{BDF89A00-C71D-43EE-B390-F10B84F560B6}"/>
    <hyperlink ref="C143" r:id="rId141" display="http://mxchim0web05/eDashboard_CUU/_webforms/rep_mes_birthaging.aspx?a=TX1449781-00-AT-2" xr:uid="{22F0D631-B97C-4528-8566-E35A7F63B48C}"/>
    <hyperlink ref="C144" r:id="rId142" display="http://mxchim0web05/eDashboard_CUU/_webforms/rep_mes_birthaging.aspx?a=TX1449781-00-ATH-2" xr:uid="{F9FB7575-CCC0-444C-A0A4-43FEEADF4660}"/>
    <hyperlink ref="C145" r:id="rId143" display="http://mxchim0web05/eDashboard_CUU/_webforms/rep_mes_birthaging.aspx?a=TX1454671-00-A_02" xr:uid="{83CDD15A-EED3-4B18-8C60-C985899D2865}"/>
    <hyperlink ref="C146" r:id="rId144" display="http://mxchim0web05/eDashboard_CUU/_webforms/rep_mes_birthaging.aspx?a=TX1454671-00-AT-2" xr:uid="{3AEA2328-CB98-4788-B15C-B3122D0FF70A}"/>
    <hyperlink ref="C147" r:id="rId145" display="http://mxchim0web05/eDashboard_CUU/_webforms/rep_mes_birthaging.aspx?a=TX1454671-00-ATH-2" xr:uid="{94BEE60D-7CEE-4577-AC2C-DF3D35758C1C}"/>
    <hyperlink ref="C148" r:id="rId146" display="http://mxchim0web05/eDashboard_CUU/_webforms/rep_mes_birthaging.aspx?a=TX1456998-00-A_01" xr:uid="{A4A4A752-DF07-48CC-88DD-CD3849380EAD}"/>
    <hyperlink ref="C149" r:id="rId147" display="http://mxchim0web05/eDashboard_CUU/_webforms/rep_mes_birthaging.aspx?a=TX1456998-00-AT-1" xr:uid="{A6010C36-1A8E-40F9-9305-B0F53CFDC75C}"/>
    <hyperlink ref="C150" r:id="rId148" display="http://mxchim0web05/eDashboard_CUU/_webforms/rep_mes_birthaging.aspx?a=TX1456998-00-ATH-1" xr:uid="{CA246B82-0BAD-4B78-8E47-ACA77CD1A494}"/>
  </hyperlinks>
  <pageMargins left="0.7" right="0.7" top="0.75" bottom="0.75" header="0.3" footer="0.3"/>
  <ignoredErrors>
    <ignoredError sqref="O3:O18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COMPARACIONES </vt:lpstr>
      <vt:lpstr>SAP VS MES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891931</dc:creator>
  <cp:lastModifiedBy>891931</cp:lastModifiedBy>
  <dcterms:created xsi:type="dcterms:W3CDTF">2018-09-18T19:02:14Z</dcterms:created>
  <dcterms:modified xsi:type="dcterms:W3CDTF">2018-09-19T13:56:09Z</dcterms:modified>
</cp:coreProperties>
</file>